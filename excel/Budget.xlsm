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\budgetexcel\excel\"/>
    </mc:Choice>
  </mc:AlternateContent>
  <xr:revisionPtr revIDLastSave="0" documentId="13_ncr:1_{CE2F2D80-F64D-404E-8B4F-946D552DB43F}" xr6:coauthVersionLast="47" xr6:coauthVersionMax="47" xr10:uidLastSave="{00000000-0000-0000-0000-000000000000}"/>
  <bookViews>
    <workbookView xWindow="-108" yWindow="-108" windowWidth="23256" windowHeight="12456" firstSheet="5" activeTab="11" xr2:uid="{51CC79D6-7587-46A9-BC36-84217F55C51A}"/>
  </bookViews>
  <sheets>
    <sheet name="Config" sheetId="9" r:id="rId1"/>
    <sheet name="accounts" sheetId="10" r:id="rId2"/>
    <sheet name="rules" sheetId="11" r:id="rId3"/>
    <sheet name="Transactions" sheetId="12" r:id="rId4"/>
    <sheet name="TransactionsSnapshot" sheetId="14" state="veryHidden" r:id="rId5"/>
    <sheet name="Diagnostics" sheetId="15" r:id="rId6"/>
    <sheet name="Plan" sheetId="16" r:id="rId7"/>
    <sheet name="Envelopes" sheetId="17" r:id="rId8"/>
    <sheet name="Reallocations" sheetId="18" r:id="rId9"/>
    <sheet name="Dashboard" sheetId="19" r:id="rId10"/>
    <sheet name="Reminders" sheetId="20" r:id="rId11"/>
    <sheet name="Import Assistant" sheetId="21" r:id="rId12"/>
  </sheets>
  <functionGroups builtInGroupCount="19"/>
  <definedNames>
    <definedName name="_xlpm.cats" hidden="1" xlm="1">#NAME?</definedName>
    <definedName name="_xlpm.exp" hidden="1" xlm="1">#NAME?</definedName>
    <definedName name="_xlpm.idx" hidden="1" xlm="1">#NAME?</definedName>
    <definedName name="_xlpm.inc" hidden="1" xlm="1">#NAME?</definedName>
    <definedName name="_xlpm.m" hidden="1" xlm="1">#NAME?</definedName>
    <definedName name="_xlpm.rems" hidden="1" xlm="1">#NAME?</definedName>
    <definedName name="_xlpm.sortedCats" hidden="1" xlm="1">#NAME?</definedName>
    <definedName name="_xlpm.sortedRems" hidden="1" xlm="1">#NAME?</definedName>
    <definedName name="_xlpm.sortedSubs" hidden="1" xlm="1">#NAME?</definedName>
    <definedName name="_xlpm.subs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9" l="1"/>
  <c r="B3" i="19"/>
  <c r="A14" i="19"/>
  <c r="B6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C18" i="19" l="1"/>
  <c r="C16" i="19"/>
  <c r="C15" i="19"/>
  <c r="B18" i="19"/>
  <c r="C17" i="19"/>
  <c r="C14" i="19"/>
  <c r="B16" i="19"/>
  <c r="A17" i="19"/>
  <c r="B15" i="19"/>
  <c r="A16" i="19"/>
  <c r="B17" i="19"/>
  <c r="B14" i="19"/>
  <c r="A18" i="19"/>
  <c r="A15" i="19"/>
  <c r="B8" i="19"/>
  <c r="B7" i="19"/>
  <c r="B11" i="19"/>
  <c r="B10" i="19"/>
  <c r="B9" i="19"/>
</calcChain>
</file>

<file path=xl/sharedStrings.xml><?xml version="1.0" encoding="utf-8"?>
<sst xmlns="http://schemas.openxmlformats.org/spreadsheetml/2006/main" count="171" uniqueCount="123">
  <si>
    <t>key</t>
  </si>
  <si>
    <t>value</t>
  </si>
  <si>
    <t>service_url</t>
  </si>
  <si>
    <t>db_path</t>
  </si>
  <si>
    <t>sync_since_days</t>
  </si>
  <si>
    <t>csv_import_folder</t>
  </si>
  <si>
    <t>amount_convention</t>
  </si>
  <si>
    <t>http://127.0.0.1:8787</t>
  </si>
  <si>
    <t>%LOCALAPPDATA%\BudgetApp\data\budget.sqlite</t>
  </si>
  <si>
    <t>%USERPROFILE%\Downloads\BudgetImports</t>
  </si>
  <si>
    <t>expenses_negative</t>
  </si>
  <si>
    <t>account_id</t>
  </si>
  <si>
    <t>display_name</t>
  </si>
  <si>
    <t>test_checking_001</t>
  </si>
  <si>
    <t>Test Checking</t>
  </si>
  <si>
    <t>Bank A</t>
  </si>
  <si>
    <t>rule_id</t>
  </si>
  <si>
    <t>expression</t>
  </si>
  <si>
    <t>category</t>
  </si>
  <si>
    <t>priority</t>
  </si>
  <si>
    <t>matcher</t>
  </si>
  <si>
    <t>currency</t>
  </si>
  <si>
    <t>connector_type</t>
  </si>
  <si>
    <t>csv</t>
  </si>
  <si>
    <t>txn_id</t>
  </si>
  <si>
    <t>external_txn_id</t>
  </si>
  <si>
    <t>posted_date</t>
  </si>
  <si>
    <t>amount</t>
  </si>
  <si>
    <t>payee</t>
  </si>
  <si>
    <t>memo</t>
  </si>
  <si>
    <t>subcategory</t>
  </si>
  <si>
    <t>category_source</t>
  </si>
  <si>
    <t>pending</t>
  </si>
  <si>
    <t>fingerprint</t>
  </si>
  <si>
    <t>imported_at</t>
  </si>
  <si>
    <t>raw_ref</t>
  </si>
  <si>
    <t>7900e7f8-e9a2-457a-a6ae-c0be577ac54b</t>
  </si>
  <si>
    <t>Spotify</t>
  </si>
  <si>
    <t>Subscription</t>
  </si>
  <si>
    <t>uncategorized</t>
  </si>
  <si>
    <t>aeb96f52ceed553b1af2d6822c43470f68fd9bd78621ba433a8ebe0fcc102720</t>
  </si>
  <si>
    <t>2026-02-09T19:34:18Z</t>
  </si>
  <si>
    <t>88a45ed2-cffa-42bb-b514-a7d0c17e576d</t>
  </si>
  <si>
    <t>Shell</t>
  </si>
  <si>
    <t>Gas</t>
  </si>
  <si>
    <t>272b95d2663589beb66b6313d142566346dcd70ed703734cd814ba2b5db85eeb</t>
  </si>
  <si>
    <t>1eeb7dd7-9c74-4978-bdad-f591fb70b6af</t>
  </si>
  <si>
    <t>Employer</t>
  </si>
  <si>
    <t>Salary</t>
  </si>
  <si>
    <t>5b2d041c62587feb7d439f6fcfabbb10b1b7deb54a6432f9b509ba64ae378af3</t>
  </si>
  <si>
    <t>0d748b22-e6dd-4d7a-97a3-2b96793aeeb8</t>
  </si>
  <si>
    <t>Whole Foods</t>
  </si>
  <si>
    <t>Grocery</t>
  </si>
  <si>
    <t>d569591b056652ae1a6a64db4ea35e94fd343f9396532eac93f6c4982d5bb173</t>
  </si>
  <si>
    <t>186b8197-bd82-4dea-94be-ad98c50b1ec0</t>
  </si>
  <si>
    <t>Starbucks</t>
  </si>
  <si>
    <t>Coffee</t>
  </si>
  <si>
    <t>9c7e730415fb14e0b86a7344f32e183d83d587f45ee563dbc4a82765d2810bfa</t>
  </si>
  <si>
    <t>Last Sync</t>
  </si>
  <si>
    <t>Status</t>
  </si>
  <si>
    <t>Summary</t>
  </si>
  <si>
    <t>Updated At</t>
  </si>
  <si>
    <t>type</t>
  </si>
  <si>
    <t>rollover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</si>
  <si>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</si>
  <si>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</si>
  <si>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</si>
  <si>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</si>
  <si>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</si>
  <si>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</si>
  <si>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</si>
  <si>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</si>
  <si>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</si>
  <si>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</si>
  <si>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</si>
  <si>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</si>
  <si>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annual_total</t>
  </si>
  <si>
    <t>notes</t>
  </si>
  <si>
    <t>date</t>
  </si>
  <si>
    <t>month</t>
  </si>
  <si>
    <t>from_category</t>
  </si>
  <si>
    <t>from_subcategory</t>
  </si>
  <si>
    <t>to_category</t>
  </si>
  <si>
    <t>to_subcategory</t>
  </si>
  <si>
    <t>note</t>
  </si>
  <si>
    <t>budgeted</t>
  </si>
  <si>
    <t>realloc_in</t>
  </si>
  <si>
    <t>realloc_out</t>
  </si>
  <si>
    <t>spent</t>
  </si>
  <si>
    <t>rollover_in</t>
  </si>
  <si>
    <t>available</t>
  </si>
  <si>
    <t>remaining</t>
  </si>
  <si>
    <t>rollover_out</t>
  </si>
  <si>
    <t>current_month</t>
  </si>
  <si>
    <t>current_year</t>
  </si>
  <si>
    <t>metric</t>
  </si>
  <si>
    <t>Total Income (Month)</t>
  </si>
  <si>
    <t>Total Expenses (Month)</t>
  </si>
  <si>
    <t>Net (Month)</t>
  </si>
  <si>
    <t>Envelope Remaining (Month)</t>
  </si>
  <si>
    <t>Overspent Envelopes (Count)</t>
  </si>
  <si>
    <t>YTD Net</t>
  </si>
  <si>
    <t>budgeted_ytd</t>
  </si>
  <si>
    <t>spent_ytd</t>
  </si>
  <si>
    <t>variance</t>
  </si>
  <si>
    <t>institution</t>
  </si>
  <si>
    <t>cadence</t>
  </si>
  <si>
    <t>last_import_date</t>
  </si>
  <si>
    <t>next_due_date</t>
  </si>
  <si>
    <t>days_overdue</t>
  </si>
  <si>
    <t>status</t>
  </si>
  <si>
    <t>account_type</t>
  </si>
  <si>
    <t>expected_csv</t>
  </si>
  <si>
    <t>last_imported_at</t>
  </si>
  <si>
    <t>last_file</t>
  </si>
  <si>
    <t>file_path</t>
  </si>
  <si>
    <t>import_status</t>
  </si>
  <si>
    <t>BofA - Checking</t>
  </si>
  <si>
    <t>Bank of America - Checking</t>
  </si>
  <si>
    <t>BofA_Checking</t>
  </si>
  <si>
    <t>USD</t>
  </si>
  <si>
    <t>C:\dev\budgetexcel\samples\csv\BOFA.csv</t>
  </si>
  <si>
    <t>BOFA.csv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</si>
</sst>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5">
    <dxf>
      <numFmt numFmtId="19" formatCode="m/d/yyyy"/>
    </dxf>
    <dxf>
      <numFmt numFmtId="164" formatCode="yyyy\-mm\-dd"/>
    </dxf>
    <dxf>
      <numFmt numFmtId="164" formatCode="yyyy\-mm\-dd"/>
    </dxf>
    <dxf>
      <numFmt numFmtId="164" formatCode="yyyy\-mm\-dd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88900</xdr:rowOff>
    </xdr:from>
    <xdr:to>
      <xdr:col>2</xdr:col>
      <xdr:colOff>218440</xdr:colOff>
      <xdr:row>8</xdr:row>
      <xdr:rowOff>104140</xdr:rowOff>
    </xdr:to>
    <xdr:sp macro="CheckReminders" textlink="">
      <xdr:nvSpPr>
        <xdr:cNvPr id="2" name="btn_check_reminders">
          <a:extLst>
            <a:ext uri="{FF2B5EF4-FFF2-40B4-BE49-F238E27FC236}">
              <a16:creationId xmlns:a16="http://schemas.microsoft.com/office/drawing/2014/main" id="{454FC8D3-E9BA-0A0B-A935-272E792105F3}"/>
            </a:ext>
          </a:extLst>
        </xdr:cNvPr>
        <xdr:cNvSpPr/>
      </xdr:nvSpPr>
      <xdr:spPr>
        <a:xfrm>
          <a:off x="0" y="1186180"/>
          <a:ext cx="20320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Check Reminders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782320</xdr:colOff>
      <xdr:row>12</xdr:row>
      <xdr:rowOff>149860</xdr:rowOff>
    </xdr:from>
    <xdr:to>
      <xdr:col>2</xdr:col>
      <xdr:colOff>746760</xdr:colOff>
      <xdr:row>14</xdr:row>
      <xdr:rowOff>165100</xdr:rowOff>
    </xdr:to>
    <xdr:sp macro="PickCsvForSelected" textlink="">
      <xdr:nvSpPr>
        <xdr:cNvPr id="2" name="btn_pick_csv">
          <a:extLst>
            <a:ext uri="{FF2B5EF4-FFF2-40B4-BE49-F238E27FC236}">
              <a16:creationId xmlns:a16="http://schemas.microsoft.com/office/drawing/2014/main" id="{B7B22915-3E4D-AE49-F156-8720CE183D8B}"/>
            </a:ext>
          </a:extLst>
        </xdr:cNvPr>
        <xdr:cNvSpPr/>
      </xdr:nvSpPr>
      <xdr:spPr>
        <a:xfrm>
          <a:off x="782320" y="2344420"/>
          <a:ext cx="17780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Pick CSV</a:t>
          </a:r>
        </a:p>
      </xdr:txBody>
    </xdr:sp>
    <xdr:clientData/>
  </xdr:twoCellAnchor>
  <xdr:twoCellAnchor>
    <xdr:from>
      <xdr:col>0</xdr:col>
      <xdr:colOff>668020</xdr:colOff>
      <xdr:row>9</xdr:row>
      <xdr:rowOff>111760</xdr:rowOff>
    </xdr:from>
    <xdr:to>
      <xdr:col>3</xdr:col>
      <xdr:colOff>101600</xdr:colOff>
      <xdr:row>11</xdr:row>
      <xdr:rowOff>127000</xdr:rowOff>
    </xdr:to>
    <xdr:sp macro="ImportSelectedCsv" textlink="">
      <xdr:nvSpPr>
        <xdr:cNvPr id="3" name="btn_import_csv">
          <a:extLst>
            <a:ext uri="{FF2B5EF4-FFF2-40B4-BE49-F238E27FC236}">
              <a16:creationId xmlns:a16="http://schemas.microsoft.com/office/drawing/2014/main" id="{D1FECD42-9EF4-42AD-3DF1-C2B44B27293E}"/>
            </a:ext>
          </a:extLst>
        </xdr:cNvPr>
        <xdr:cNvSpPr/>
      </xdr:nvSpPr>
      <xdr:spPr>
        <a:xfrm>
          <a:off x="668020" y="1757680"/>
          <a:ext cx="20320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Import Selected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B19078-D828-44D7-A74E-C7806CEEF42A}" name="settings" displayName="settings" ref="A1:B6" totalsRowShown="0">
  <autoFilter ref="A1:B6" xr:uid="{64B19078-D828-44D7-A74E-C7806CEEF42A}"/>
  <tableColumns count="2">
    <tableColumn id="1" xr3:uid="{866EB966-BDA0-4B41-869B-55CCB0862172}" name="key"/>
    <tableColumn id="2" xr3:uid="{69C48D8D-3FFA-4FE5-A4DA-D1F012607FB2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CE5C29-33E2-4AC8-8C7B-AA4144FFFADD}" name="accounts" displayName="accounts" ref="A1:F3" totalsRowShown="0">
  <autoFilter ref="A1:F3" xr:uid="{80CE5C29-33E2-4AC8-8C7B-AA4144FFFADD}"/>
  <tableColumns count="6">
    <tableColumn id="1" xr3:uid="{26FD1D2E-B524-4007-BA87-F30D5A1C1B6B}" name="account_id"/>
    <tableColumn id="2" xr3:uid="{C0755DDE-9CA1-4A75-B073-5AC70904B195}" name="display_name"/>
    <tableColumn id="3" xr3:uid="{D5AAF39B-59C2-4E01-A030-478EE07C3017}" name="institution"/>
    <tableColumn id="7" xr3:uid="{D7C911B2-C165-4346-A4E5-4C7A9767F25B}" name="account_type"/>
    <tableColumn id="4" xr3:uid="{BC70DFDD-247A-4DB7-A202-D01CC93E0FFB}" name="currency"/>
    <tableColumn id="5" xr3:uid="{0E888F4F-F661-4EAF-9B98-C55DC39616AC}" name="connector_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091163-30DB-4510-A476-9ED721DF9A27}" name="rules" displayName="rules" ref="A1:E2" insertRow="1" totalsRowShown="0">
  <autoFilter ref="A1:E2" xr:uid="{0C091163-30DB-4510-A476-9ED721DF9A27}"/>
  <tableColumns count="5">
    <tableColumn id="1" xr3:uid="{D9A478C7-E137-4A89-8D9E-184D8C988596}" name="rule_id"/>
    <tableColumn id="2" xr3:uid="{E426C50D-8E20-496C-946B-BCFBDB7633AE}" name="expression"/>
    <tableColumn id="3" xr3:uid="{719AEA0A-DBC0-4C64-9467-828C928A03B5}" name="category"/>
    <tableColumn id="4" xr3:uid="{4A4EB2D1-A550-47D4-B79A-CA0D64A29DC4}" name="priority"/>
    <tableColumn id="5" xr3:uid="{E94B237E-C616-469B-8250-EEDD9844EBBC}" name="match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DFE054-71D8-45A2-BB15-B30DDC78ED1A}" name="transactions" displayName="transactions" ref="A1:N6" totalsRowShown="0">
  <autoFilter ref="A1:N6" xr:uid="{49DFE054-71D8-45A2-BB15-B30DDC78ED1A}"/>
  <tableColumns count="14">
    <tableColumn id="1" xr3:uid="{15BB2B00-C8F0-4136-9B6C-A0ED4DF95E18}" name="txn_id"/>
    <tableColumn id="2" xr3:uid="{D8C83A74-2EF7-48CD-AABC-A8675D6A45F2}" name="external_txn_id"/>
    <tableColumn id="3" xr3:uid="{D7FF76D3-2FC6-4D87-B244-A0E01D0E969C}" name="account_id"/>
    <tableColumn id="4" xr3:uid="{83173FE4-4612-42F1-A57E-932A14AFDDB8}" name="posted_date"/>
    <tableColumn id="5" xr3:uid="{BD24E4C7-0D58-4245-A3D6-6562A7BCDE2F}" name="amount"/>
    <tableColumn id="6" xr3:uid="{B12EAC44-B559-4787-B17F-136B2430F9E2}" name="payee"/>
    <tableColumn id="7" xr3:uid="{D709F18E-67C8-4007-B588-40629F5BB115}" name="memo"/>
    <tableColumn id="8" xr3:uid="{B2E23870-4B0F-4AA6-B564-243563B0156C}" name="category"/>
    <tableColumn id="9" xr3:uid="{047B2670-820D-4F20-8F5B-2C94D4B846F8}" name="subcategory"/>
    <tableColumn id="10" xr3:uid="{C9C94178-82EA-486F-80E6-339FE84DE2DD}" name="category_source"/>
    <tableColumn id="11" xr3:uid="{D3E7A2BB-E501-4FEB-86EE-2765E07E98B3}" name="pending"/>
    <tableColumn id="12" xr3:uid="{B94B2D48-3736-4615-B079-65C256F5FDCF}" name="fingerprint"/>
    <tableColumn id="13" xr3:uid="{4236AA69-5CC3-4779-90A2-5D6A9F7E550D}" name="imported_at"/>
    <tableColumn id="14" xr3:uid="{52F2C2C3-CDBA-4358-91BD-468D56682F26}" name="raw_ref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308E71-8AA0-4AF3-82F7-E52237215B3A}" name="plan_annual" displayName="plan_annual" ref="A1:S2" insertRow="1" totalsRowShown="0">
  <autoFilter ref="A1:S2" xr:uid="{CB308E71-8AA0-4AF3-82F7-E52237215B3A}"/>
  <tableColumns count="19">
    <tableColumn id="1" xr3:uid="{F4C6D8DB-3B6D-42E1-825C-0C196AC10C5D}" name="category"/>
    <tableColumn id="2" xr3:uid="{F37B4BF7-52A4-46D8-9B08-D13B39F81ED6}" name="subcategory"/>
    <tableColumn id="3" xr3:uid="{9CB80F76-9798-4048-820B-9FEA0A5688D0}" name="type"/>
    <tableColumn id="4" xr3:uid="{6A07EDE6-6E39-49ED-9DC6-B8E03DF2C93B}" name="rollover"/>
    <tableColumn id="5" xr3:uid="{560ACF87-4A08-4B08-B115-B6682BC71CD6}" name="jan"/>
    <tableColumn id="6" xr3:uid="{BACF54C9-72CD-41C2-A592-A57D358D14B5}" name="feb"/>
    <tableColumn id="7" xr3:uid="{4887CA9F-91AC-44BC-8192-FBE67FE3ED4A}" name="mar"/>
    <tableColumn id="8" xr3:uid="{ADB5A871-9EC4-43AE-BBD9-943B2EA4A726}" name="apr"/>
    <tableColumn id="9" xr3:uid="{AE36F3A7-191F-45B7-A375-A3B26C6872F2}" name="may"/>
    <tableColumn id="10" xr3:uid="{E921A627-6AB0-41C4-AB2E-2C1A587B997B}" name="jun"/>
    <tableColumn id="11" xr3:uid="{BBBE66E8-A81B-41DA-B61D-98D272C0B560}" name="jul"/>
    <tableColumn id="12" xr3:uid="{2545563B-1481-4EEE-ACBC-8100579AA600}" name="aug"/>
    <tableColumn id="13" xr3:uid="{A8801561-88BB-4D19-9C27-855DF925B50A}" name="sep"/>
    <tableColumn id="14" xr3:uid="{A808D6A2-837E-491F-954A-FA47BD7FB5A6}" name="oct"/>
    <tableColumn id="15" xr3:uid="{F4838E93-CD8D-457C-ADA7-522B4F69E35E}" name="nov"/>
    <tableColumn id="16" xr3:uid="{DE282525-9A4D-450D-AE8E-8B7111E3028A}" name="dec"/>
    <tableColumn id="17" xr3:uid="{BD15786D-F780-453C-9972-686C4E129860}" name="annual_total"/>
    <tableColumn id="18" xr3:uid="{30A8192F-F8FF-499C-A8C0-913CFE6B7F7C}" name="notes"/>
    <tableColumn id="19" xr3:uid="{AB7CEDA5-205F-4225-92CD-E0560E3EDF10}" name="ke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E6AACB-5CCA-4875-8605-19A4EECAE4B8}" name="envelopes" displayName="envelopes" ref="A1:K2" insertRow="1" totalsRowShown="0">
  <autoFilter ref="A1:K2" xr:uid="{88E6AACB-5CCA-4875-8605-19A4EECAE4B8}"/>
  <tableColumns count="11">
    <tableColumn id="1" xr3:uid="{67D7A70C-EFC5-4E1B-A98A-72BBA55D7C5B}" name="month"/>
    <tableColumn id="2" xr3:uid="{477D3A81-D14A-4691-9DD5-A3CC9C593DBC}" name="category"/>
    <tableColumn id="3" xr3:uid="{156EE8FE-52EB-45CA-9678-F5F7E80782A7}" name="subcategory"/>
    <tableColumn id="4" xr3:uid="{DA258025-C41D-44CA-B5FC-4825C581A148}" name="budgeted"/>
    <tableColumn id="5" xr3:uid="{836E7C03-69D0-44AF-89AD-FF4A03B8F776}" name="realloc_in"/>
    <tableColumn id="6" xr3:uid="{A1F56818-D279-416B-9C7C-C1ED41DF7A38}" name="realloc_out"/>
    <tableColumn id="7" xr3:uid="{4B0A1B3F-95BB-4B25-9FDF-27F5AF63D972}" name="spent"/>
    <tableColumn id="8" xr3:uid="{A8634A27-604C-491C-B21F-263C8013C9BD}" name="rollover_in"/>
    <tableColumn id="9" xr3:uid="{90780CA0-CAAC-405A-88DB-D33C416CC607}" name="available"/>
    <tableColumn id="10" xr3:uid="{9C5E00B0-19E5-4BC3-B180-10B3F8DD2184}" name="remaining"/>
    <tableColumn id="11" xr3:uid="{198E6068-59A8-465B-8DED-4637A04642C7}" name="rollover_ou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6973236-B9B5-410D-8123-6AA553AFB58A}" name="reallocations" displayName="reallocations" ref="A1:H2" insertRow="1" totalsRowShown="0">
  <autoFilter ref="A1:H2" xr:uid="{06973236-B9B5-410D-8123-6AA553AFB58A}"/>
  <tableColumns count="8">
    <tableColumn id="1" xr3:uid="{91B8F10F-1B2A-4308-AE8B-BB53DA3A6B1F}" name="date"/>
    <tableColumn id="2" xr3:uid="{B5595908-C120-47FE-B33C-30C1CCA93371}" name="month"/>
    <tableColumn id="3" xr3:uid="{8D5FBAA8-3CDE-4851-A2F6-20C3387B31A8}" name="from_category"/>
    <tableColumn id="4" xr3:uid="{ACEE7770-AA6C-44EA-A7D1-CF84B768E58E}" name="from_subcategory"/>
    <tableColumn id="5" xr3:uid="{DBFEA7F8-EE46-46B7-89AA-C1B81887E425}" name="to_category"/>
    <tableColumn id="6" xr3:uid="{D631E82C-D6C1-4F39-99D8-6188CBD994EC}" name="to_subcategory"/>
    <tableColumn id="7" xr3:uid="{F1D682BF-6C34-4ABD-AA12-7A950372146F}" name="amount"/>
    <tableColumn id="8" xr3:uid="{DC56B850-5DC0-4500-8F69-4412A8E63993}" name="no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16FA18-6EAA-4316-9983-4A4115B4A770}" name="dashboard_params" displayName="dashboard_params" ref="A1:B3" totalsRowShown="0">
  <autoFilter ref="A1:B3" xr:uid="{4516FA18-6EAA-4316-9983-4A4115B4A770}"/>
  <tableColumns count="2">
    <tableColumn id="1" xr3:uid="{C6C027E0-4BFE-4D86-AC77-00BDEDCD0F1E}" name="key"/>
    <tableColumn id="2" xr3:uid="{4C1F6AE9-6FAF-4DB1-9AB3-1B50DE2B4974}" name="value" dataDxfId="0">
      <calculatedColumnFormula>YEAR(TODAY())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9CD1B9-B528-420A-9F7C-35EB8E1611DF}" name="dashboard_summary" displayName="dashboard_summary" ref="A5:B11" totalsRowShown="0">
  <autoFilter ref="A5:B11" xr:uid="{D69CD1B9-B528-420A-9F7C-35EB8E1611DF}"/>
  <tableColumns count="2">
    <tableColumn id="1" xr3:uid="{BB0D9BC7-21CA-49F5-B256-792FFFB6E798}" name="metric"/>
    <tableColumn id="2" xr3:uid="{2B91BDA3-92F5-4081-A478-35B24180B9B0}" name="value" dataDxfId="4">
      <calculatedColumnFormula>_xlfn.LET(_xlpm.y,_xlfn.XLOOKUP("current_year",dashboard_params[key],dashboard_params[value],YEAR(TODAY())),SUMIFS(transactions[amount],transactions[posted_date],"&gt;="&amp;DATE(_xlpm.y,1,1),transactions[posted_date],"&lt;"&amp;DATE(_xlpm.y+1,1,1)))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B3DC31-AAC8-414A-A1A8-5F3DDF0D6AC5}" name="dashboard_overspent" displayName="dashboard_overspent" ref="A13:C18" totalsRowShown="0">
  <autoFilter ref="A13:C18" xr:uid="{DBB3DC31-AAC8-414A-A1A8-5F3DDF0D6AC5}"/>
  <tableColumns count="3">
    <tableColumn id="1" xr3:uid="{08E13E60-1E03-4D92-B719-202811EB252D}" name="category">
      <calculatedColumnFormula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calculatedColumnFormula>
    </tableColumn>
    <tableColumn id="2" xr3:uid="{A2587EAF-8739-408E-8F8A-29EAD849270A}" name="subcategory">
      <calculatedColumnFormula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calculatedColumnFormula>
    </tableColumn>
    <tableColumn id="3" xr3:uid="{0CD38F33-2ED9-4421-9F4B-BE95B5DC0632}" name="remaining">
      <calculatedColumnFormula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0B2FDB8-746F-45BB-9B81-A216203B1BB6}" name="dashboard_ytd" displayName="dashboard_ytd" ref="A20:E70" totalsRowShown="0">
  <autoFilter ref="A20:E70" xr:uid="{B0B2FDB8-746F-45BB-9B81-A216203B1BB6}"/>
  <tableColumns count="5">
    <tableColumn id="1" xr3:uid="{786C55C5-AD2C-4D62-9EA7-FA3D6FF3178D}" name="category">
      <calculatedColumnFormula>_xlfn.LET(_xlpm.cats,_xlfn._xlws.FILTER(plan_annual[category],plan_annual[type]="expense"),_xlpm.idx,ROW()-ROW(dashboard_ytd[#Headers]),IFERROR(INDEX(_xlpm.cats,_xlpm.idx),""))</calculatedColumnFormula>
    </tableColumn>
    <tableColumn id="2" xr3:uid="{55F17298-97A3-4767-8532-502DCC506CDB}" name="subcategory">
      <calculatedColumnFormula>_xlfn.LET(_xlpm.subs,_xlfn._xlws.FILTER(plan_annual[subcategory],plan_annual[type]="expense"),_xlpm.idx,ROW()-ROW(dashboard_ytd[#Headers]),IFERROR(INDEX(_xlpm.subs,_xlpm.idx),""))</calculatedColumnFormula>
    </tableColumn>
    <tableColumn id="3" xr3:uid="{BA6D4B75-1128-4567-9F4E-C3012D24B143}" name="budgeted_ytd">
      <calculatedColumnFormula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calculatedColumnFormula>
    </tableColumn>
    <tableColumn id="4" xr3:uid="{84BC7AAA-7B76-4AD6-8913-8EB67863DDF7}" name="spent_ytd">
      <calculatedColumnFormula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calculatedColumnFormula>
    </tableColumn>
    <tableColumn id="5" xr3:uid="{ADA097F3-C6E0-45DF-8C3B-BFF58F7A0707}" name="variance">
      <calculatedColumnFormula>IF($A21="","",$C21-$D21)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14CC751-7579-437F-BD86-ADC08191F67C}" name="reminders" displayName="reminders" ref="A1:H6" totalsRowShown="0">
  <autoFilter ref="A1:H6" xr:uid="{014CC751-7579-437F-BD86-ADC08191F67C}"/>
  <tableColumns count="8">
    <tableColumn id="1" xr3:uid="{66635DD8-FF3A-417C-ACBD-AC1E250E39F9}" name="account_id"/>
    <tableColumn id="2" xr3:uid="{78AD2603-073D-4241-99BF-C5A15F788EED}" name="display_name"/>
    <tableColumn id="3" xr3:uid="{7DC3B1F9-94A8-439A-89DA-6F0EB9D45578}" name="institution"/>
    <tableColumn id="4" xr3:uid="{5C7DE53B-78AF-4347-9CF6-C69CEB5AA507}" name="cadence"/>
    <tableColumn id="5" xr3:uid="{E5335770-ED8F-490F-8FCF-CBED82D09AF7}" name="last_import_date" dataDxfId="3"/>
    <tableColumn id="6" xr3:uid="{0645E76D-BFDE-4B17-9C1F-F93DDF089CF9}" name="next_due_date" dataDxfId="2"/>
    <tableColumn id="7" xr3:uid="{620FC2B8-C0A6-4C28-A30E-3E38800F292B}" name="days_overdue"/>
    <tableColumn id="8" xr3:uid="{D94C74C8-D955-4D37-BA23-B7C477678182}" name="statu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B550D73-DBEF-4587-828C-83C197F21B17}" name="import_assistant" displayName="import_assistant" ref="A1:H6" totalsRowShown="0">
  <autoFilter ref="A1:H6" xr:uid="{9B550D73-DBEF-4587-828C-83C197F21B17}"/>
  <tableColumns count="8">
    <tableColumn id="1" xr3:uid="{5EBC9F4A-F341-4C0B-BFC4-A814791F8F54}" name="account_id"/>
    <tableColumn id="2" xr3:uid="{874E0C84-D6E7-4C37-A48E-6F3989B3BE22}" name="display_name"/>
    <tableColumn id="3" xr3:uid="{74E7B15F-5400-4C6F-B86C-9A03D7E7D785}" name="institution"/>
    <tableColumn id="4" xr3:uid="{1F6993B5-FFDD-4184-B287-7EE6F31AEECC}" name="expected_csv"/>
    <tableColumn id="5" xr3:uid="{F9E68549-1EF8-4D7E-B779-1C216BC9E624}" name="last_imported_at" dataDxfId="1"/>
    <tableColumn id="6" xr3:uid="{B4295BE7-1845-498D-B5E2-2F07BEDF879C}" name="last_file"/>
    <tableColumn id="7" xr3:uid="{70FFD748-9FAD-4BD1-9D7F-89F421968ED3}" name="file_path"/>
    <tableColumn id="8" xr3:uid="{395E8B6A-E414-49EA-9C38-B05FDFB53CD3}" name="import_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8DC3A-800C-42B0-A70C-C6C446C89095}">
  <sheetPr codeName="Sheet2"/>
  <dimension ref="A1:B6"/>
  <sheetViews>
    <sheetView workbookViewId="0">
      <selection activeCell="C8" sqref="C8"/>
    </sheetView>
  </sheetViews>
  <sheetFormatPr defaultRowHeight="14.4" x14ac:dyDescent="0.3"/>
  <cols>
    <col min="1" max="1" width="16.77734375" bestFit="1" customWidth="1"/>
    <col min="2" max="2" width="42.6640625" bestFit="1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7</v>
      </c>
    </row>
    <row r="3" spans="1:2" x14ac:dyDescent="0.3">
      <c r="A3" t="s">
        <v>3</v>
      </c>
      <c r="B3" t="s">
        <v>8</v>
      </c>
    </row>
    <row r="4" spans="1:2" x14ac:dyDescent="0.3">
      <c r="A4" t="s">
        <v>4</v>
      </c>
      <c r="B4">
        <v>180</v>
      </c>
    </row>
    <row r="5" spans="1:2" x14ac:dyDescent="0.3">
      <c r="A5" t="s">
        <v>5</v>
      </c>
      <c r="B5" t="s">
        <v>9</v>
      </c>
    </row>
    <row r="6" spans="1:2" x14ac:dyDescent="0.3">
      <c r="A6" t="s">
        <v>6</v>
      </c>
      <c r="B6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1D73E-20D6-4D3C-AD0C-6FBEE1843E6A}">
  <sheetPr codeName="Sheet3"/>
  <dimension ref="A1:F3"/>
  <sheetViews>
    <sheetView workbookViewId="0">
      <selection activeCell="F4" sqref="F4"/>
    </sheetView>
  </sheetViews>
  <sheetFormatPr defaultRowHeight="14.4" x14ac:dyDescent="0.3"/>
  <cols>
    <col min="1" max="1" width="15.88671875" bestFit="1" customWidth="1"/>
    <col min="2" max="2" width="14.44140625" customWidth="1"/>
    <col min="3" max="3" width="23.109375" bestFit="1" customWidth="1"/>
    <col min="4" max="4" width="12.44140625" customWidth="1"/>
  </cols>
  <sheetData>
    <row r="1" spans="1:6" x14ac:dyDescent="0.3">
      <c r="A1" t="s">
        <v>11</v>
      </c>
      <c r="B1" t="s">
        <v>12</v>
      </c>
      <c r="C1" t="s">
        <v>105</v>
      </c>
      <c r="D1" t="s">
        <v>111</v>
      </c>
      <c r="E1" t="s">
        <v>21</v>
      </c>
      <c r="F1" t="s">
        <v>22</v>
      </c>
    </row>
    <row r="2" spans="1:6" x14ac:dyDescent="0.3">
      <c r="A2" t="s">
        <v>13</v>
      </c>
      <c r="B2" t="s">
        <v>14</v>
      </c>
      <c r="C2" t="s">
        <v>15</v>
      </c>
      <c r="F2" t="s">
        <v>23</v>
      </c>
    </row>
    <row r="3" spans="1:6" x14ac:dyDescent="0.3">
      <c r="A3" t="s">
        <v>119</v>
      </c>
      <c r="B3" t="s">
        <v>117</v>
      </c>
      <c r="C3" t="s">
        <v>118</v>
      </c>
      <c r="E3" t="s">
        <v>120</v>
      </c>
      <c r="F3" t="s">
        <v>23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FEB75-9FD4-4239-9087-3139DF65807F}">
  <sheetPr codeName="Sheet4"/>
  <dimension ref="A1:E1"/>
  <sheetViews>
    <sheetView workbookViewId="0">
      <selection activeCell="C10" sqref="C10"/>
    </sheetView>
  </sheetViews>
  <sheetFormatPr defaultRowHeight="14.4" x14ac:dyDescent="0.3"/>
  <cols>
    <col min="2" max="2" width="11.88671875" customWidth="1"/>
    <col min="3" max="3" width="10" customWidth="1"/>
    <col min="4" max="4" width="9" customWidth="1"/>
    <col min="5" max="5" width="9.88671875" customWidth="1"/>
  </cols>
  <sheetData>
    <row r="1" spans="1:5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7E21-E3BE-4CF3-83FB-A88A7E34F256}">
  <sheetPr codeName="Sheet5"/>
  <dimension ref="A1:N6"/>
  <sheetViews>
    <sheetView topLeftCell="D1" workbookViewId="0">
      <selection sqref="A1:N1"/>
    </sheetView>
  </sheetViews>
  <sheetFormatPr defaultRowHeight="14.4" x14ac:dyDescent="0.3"/>
  <cols>
    <col min="1" max="1" width="36.33203125" bestFit="1" customWidth="1"/>
    <col min="2" max="3" width="15.88671875" bestFit="1" customWidth="1"/>
    <col min="4" max="4" width="13.5546875" bestFit="1" customWidth="1"/>
    <col min="5" max="5" width="9.5546875" bestFit="1" customWidth="1"/>
    <col min="6" max="6" width="11.33203125" bestFit="1" customWidth="1"/>
    <col min="7" max="7" width="11" bestFit="1" customWidth="1"/>
    <col min="8" max="8" width="10.33203125" bestFit="1" customWidth="1"/>
    <col min="9" max="9" width="13.33203125" bestFit="1" customWidth="1"/>
    <col min="10" max="10" width="16.77734375" bestFit="1" customWidth="1"/>
    <col min="11" max="11" width="9.88671875" bestFit="1" customWidth="1"/>
    <col min="12" max="12" width="66.5546875" bestFit="1" customWidth="1"/>
    <col min="13" max="13" width="19.44140625" bestFit="1" customWidth="1"/>
    <col min="14" max="14" width="9.21875" bestFit="1" customWidth="1"/>
  </cols>
  <sheetData>
    <row r="1" spans="1:14" x14ac:dyDescent="0.3">
      <c r="A1" t="s">
        <v>24</v>
      </c>
      <c r="B1" t="s">
        <v>25</v>
      </c>
      <c r="C1" t="s">
        <v>11</v>
      </c>
      <c r="D1" t="s">
        <v>26</v>
      </c>
      <c r="E1" t="s">
        <v>27</v>
      </c>
      <c r="F1" t="s">
        <v>28</v>
      </c>
      <c r="G1" t="s">
        <v>29</v>
      </c>
      <c r="H1" t="s">
        <v>18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</row>
    <row r="2" spans="1:14" x14ac:dyDescent="0.3">
      <c r="A2" t="s">
        <v>36</v>
      </c>
      <c r="C2" t="s">
        <v>13</v>
      </c>
      <c r="D2" s="1">
        <v>46037</v>
      </c>
      <c r="E2">
        <v>-15</v>
      </c>
      <c r="F2" t="s">
        <v>37</v>
      </c>
      <c r="G2" t="s">
        <v>38</v>
      </c>
      <c r="J2" t="s">
        <v>39</v>
      </c>
      <c r="K2" t="b">
        <v>0</v>
      </c>
      <c r="L2" t="s">
        <v>40</v>
      </c>
      <c r="M2" t="s">
        <v>41</v>
      </c>
    </row>
    <row r="3" spans="1:14" x14ac:dyDescent="0.3">
      <c r="A3" t="s">
        <v>42</v>
      </c>
      <c r="C3" t="s">
        <v>13</v>
      </c>
      <c r="D3" s="1">
        <v>46032</v>
      </c>
      <c r="E3">
        <v>-60.25</v>
      </c>
      <c r="F3" t="s">
        <v>43</v>
      </c>
      <c r="G3" t="s">
        <v>44</v>
      </c>
      <c r="J3" t="s">
        <v>39</v>
      </c>
      <c r="K3" t="b">
        <v>0</v>
      </c>
      <c r="L3" t="s">
        <v>45</v>
      </c>
      <c r="M3" t="s">
        <v>41</v>
      </c>
    </row>
    <row r="4" spans="1:14" x14ac:dyDescent="0.3">
      <c r="A4" t="s">
        <v>46</v>
      </c>
      <c r="C4" t="s">
        <v>13</v>
      </c>
      <c r="D4" s="1">
        <v>46027</v>
      </c>
      <c r="E4">
        <v>2500</v>
      </c>
      <c r="F4" t="s">
        <v>47</v>
      </c>
      <c r="G4" t="s">
        <v>48</v>
      </c>
      <c r="J4" t="s">
        <v>39</v>
      </c>
      <c r="K4" t="b">
        <v>0</v>
      </c>
      <c r="L4" t="s">
        <v>49</v>
      </c>
      <c r="M4" t="s">
        <v>41</v>
      </c>
    </row>
    <row r="5" spans="1:14" x14ac:dyDescent="0.3">
      <c r="A5" t="s">
        <v>50</v>
      </c>
      <c r="C5" t="s">
        <v>13</v>
      </c>
      <c r="D5" s="1">
        <v>46025</v>
      </c>
      <c r="E5">
        <v>-120</v>
      </c>
      <c r="F5" t="s">
        <v>51</v>
      </c>
      <c r="G5" t="s">
        <v>52</v>
      </c>
      <c r="J5" t="s">
        <v>39</v>
      </c>
      <c r="K5" t="b">
        <v>0</v>
      </c>
      <c r="L5" t="s">
        <v>53</v>
      </c>
      <c r="M5" t="s">
        <v>41</v>
      </c>
    </row>
    <row r="6" spans="1:14" x14ac:dyDescent="0.3">
      <c r="A6" t="s">
        <v>54</v>
      </c>
      <c r="C6" t="s">
        <v>13</v>
      </c>
      <c r="D6" s="1">
        <v>46023</v>
      </c>
      <c r="E6">
        <v>-45.67</v>
      </c>
      <c r="F6" t="s">
        <v>55</v>
      </c>
      <c r="G6" t="s">
        <v>56</v>
      </c>
      <c r="J6" t="s">
        <v>39</v>
      </c>
      <c r="K6" t="b">
        <v>0</v>
      </c>
      <c r="L6" t="s">
        <v>57</v>
      </c>
      <c r="M6" t="s">
        <v>41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B98D7-A342-4613-B9FD-2AA14E131CCE}">
  <sheetPr codeName="Sheet1"/>
  <dimension ref="A1:C6"/>
  <sheetViews>
    <sheetView workbookViewId="0"/>
  </sheetViews>
  <sheetFormatPr defaultRowHeight="14.4" x14ac:dyDescent="0.3"/>
  <sheetData>
    <row r="1" spans="1:3" x14ac:dyDescent="0.3">
      <c r="A1" t="s">
        <v>24</v>
      </c>
      <c r="B1" t="s">
        <v>18</v>
      </c>
      <c r="C1" t="s">
        <v>30</v>
      </c>
    </row>
    <row r="2" spans="1:3" x14ac:dyDescent="0.3">
      <c r="A2" t="s">
        <v>36</v>
      </c>
    </row>
    <row r="3" spans="1:3" x14ac:dyDescent="0.3">
      <c r="A3" t="s">
        <v>42</v>
      </c>
    </row>
    <row r="4" spans="1:3" x14ac:dyDescent="0.3">
      <c r="A4" t="s">
        <v>46</v>
      </c>
    </row>
    <row r="5" spans="1:3" x14ac:dyDescent="0.3">
      <c r="A5" t="s">
        <v>50</v>
      </c>
    </row>
    <row r="6" spans="1:3" x14ac:dyDescent="0.3">
      <c r="A6" t="s">
        <v>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89612-D9CD-4946-8248-D140EAF0C207}">
  <sheetPr codeName="Sheet6"/>
  <dimension ref="A1:B4"/>
  <sheetViews>
    <sheetView workbookViewId="0">
      <selection sqref="A1:B4"/>
    </sheetView>
  </sheetViews>
  <sheetFormatPr defaultRowHeight="14.4" x14ac:dyDescent="0.3"/>
  <cols>
    <col min="2" max="2" width="13.33203125" bestFit="1" customWidth="1"/>
  </cols>
  <sheetData>
    <row r="1" spans="1:2" x14ac:dyDescent="0.3">
      <c r="A1" t="s">
        <v>58</v>
      </c>
    </row>
    <row r="2" spans="1:2" x14ac:dyDescent="0.3">
      <c r="A2" t="s">
        <v>59</v>
      </c>
    </row>
    <row r="3" spans="1:2" x14ac:dyDescent="0.3">
      <c r="A3" t="s">
        <v>60</v>
      </c>
    </row>
    <row r="4" spans="1:2" x14ac:dyDescent="0.3">
      <c r="A4" t="s">
        <v>61</v>
      </c>
      <c r="B4" s="2">
        <v>46062.914039351854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30E2A-B248-4627-B667-E3CD819536C8}">
  <sheetPr codeName="Sheet7"/>
  <dimension ref="A1:S1"/>
  <sheetViews>
    <sheetView workbookViewId="0"/>
  </sheetViews>
  <sheetFormatPr defaultRowHeight="14.4" x14ac:dyDescent="0.3"/>
  <cols>
    <col min="1" max="1" width="10" customWidth="1"/>
    <col min="2" max="2" width="13" customWidth="1"/>
    <col min="4" max="4" width="9.21875" customWidth="1"/>
    <col min="17" max="17" width="13.109375" customWidth="1"/>
  </cols>
  <sheetData>
    <row r="1" spans="1:19" x14ac:dyDescent="0.3">
      <c r="A1" t="s">
        <v>18</v>
      </c>
      <c r="B1" t="s">
        <v>30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10AA-5B6C-473A-B1F4-2972DF469495}">
  <sheetPr codeName="Sheet8"/>
  <dimension ref="A1:K1"/>
  <sheetViews>
    <sheetView workbookViewId="0"/>
  </sheetViews>
  <sheetFormatPr defaultRowHeight="14.4" x14ac:dyDescent="0.3"/>
  <cols>
    <col min="2" max="2" width="10" customWidth="1"/>
    <col min="3" max="3" width="13" customWidth="1"/>
    <col min="4" max="4" width="10.77734375" customWidth="1"/>
    <col min="5" max="5" width="11" customWidth="1"/>
    <col min="6" max="6" width="12.109375" customWidth="1"/>
    <col min="8" max="8" width="11.5546875" customWidth="1"/>
    <col min="9" max="9" width="10.5546875" customWidth="1"/>
    <col min="10" max="10" width="11.21875" customWidth="1"/>
    <col min="11" max="11" width="12.6640625" customWidth="1"/>
  </cols>
  <sheetData>
    <row r="1" spans="1:11" x14ac:dyDescent="0.3">
      <c r="A1" t="s">
        <v>79</v>
      </c>
      <c r="B1" t="s">
        <v>18</v>
      </c>
      <c r="C1" t="s">
        <v>30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90</v>
      </c>
      <c r="J1" t="s">
        <v>91</v>
      </c>
      <c r="K1" t="s">
        <v>92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35C01-F212-411B-8510-E610FD82DB18}">
  <sheetPr codeName="Sheet9"/>
  <dimension ref="A1:H1"/>
  <sheetViews>
    <sheetView workbookViewId="0">
      <selection activeCell="G28" sqref="G28"/>
    </sheetView>
  </sheetViews>
  <sheetFormatPr defaultRowHeight="14.4" x14ac:dyDescent="0.3"/>
  <cols>
    <col min="3" max="3" width="14.6640625" customWidth="1"/>
    <col min="4" max="4" width="17.6640625" customWidth="1"/>
    <col min="5" max="5" width="12.44140625" customWidth="1"/>
    <col min="6" max="6" width="15.44140625" customWidth="1"/>
    <col min="7" max="7" width="9.21875" customWidth="1"/>
  </cols>
  <sheetData>
    <row r="1" spans="1:8" x14ac:dyDescent="0.3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27</v>
      </c>
      <c r="H1" t="s">
        <v>84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54CE8-DFFE-491E-8962-A1214BAFC80B}">
  <sheetPr codeName="Sheet10"/>
  <dimension ref="A1:E70"/>
  <sheetViews>
    <sheetView workbookViewId="0">
      <selection activeCell="P8" sqref="P8"/>
    </sheetView>
  </sheetViews>
  <sheetFormatPr defaultRowHeight="14.4" x14ac:dyDescent="0.3"/>
  <cols>
    <col min="1" max="1" width="10" customWidth="1"/>
    <col min="2" max="2" width="13.33203125" bestFit="1" customWidth="1"/>
    <col min="3" max="3" width="14.21875" customWidth="1"/>
    <col min="4" max="4" width="11" customWidth="1"/>
    <col min="5" max="5" width="10" customWidth="1"/>
  </cols>
  <sheetData>
    <row r="1" spans="1:3" x14ac:dyDescent="0.3">
      <c r="A1" t="s">
        <v>0</v>
      </c>
      <c r="B1" t="s">
        <v>1</v>
      </c>
    </row>
    <row r="2" spans="1:3" x14ac:dyDescent="0.3">
      <c r="A2" t="s">
        <v>93</v>
      </c>
      <c r="B2" s="1">
        <f t="shared" ref="B2:B3" ca="1" si="0">YEAR(TODAY())</f>
        <v>2026</v>
      </c>
    </row>
    <row r="3" spans="1:3" x14ac:dyDescent="0.3">
      <c r="A3" t="s">
        <v>94</v>
      </c>
      <c r="B3" s="1">
        <f t="shared" ca="1" si="0"/>
        <v>2026</v>
      </c>
    </row>
    <row r="5" spans="1:3" x14ac:dyDescent="0.3">
      <c r="A5" t="s">
        <v>95</v>
      </c>
      <c r="B5" t="s">
        <v>1</v>
      </c>
    </row>
    <row r="6" spans="1:3" x14ac:dyDescent="0.3">
      <c r="A6" t="s">
        <v>96</v>
      </c>
      <c r="B6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7" spans="1:3" x14ac:dyDescent="0.3">
      <c r="A7" t="s">
        <v>97</v>
      </c>
      <c r="B7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8" spans="1:3" x14ac:dyDescent="0.3">
      <c r="A8" t="s">
        <v>98</v>
      </c>
      <c r="B8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9" spans="1:3" x14ac:dyDescent="0.3">
      <c r="A9" t="s">
        <v>99</v>
      </c>
      <c r="B9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10" spans="1:3" x14ac:dyDescent="0.3">
      <c r="A10" t="s">
        <v>100</v>
      </c>
      <c r="B10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11" spans="1:3" x14ac:dyDescent="0.3">
      <c r="A11" t="s">
        <v>101</v>
      </c>
      <c r="B11">
        <f ca="1">_xlfn.LET(_xlpm.y,_xlfn.XLOOKUP("current_year",dashboard_params[key],dashboard_params[value],YEAR(TODAY())),SUMIFS(transactions[amount],transactions[posted_date],"&gt;="&amp;DATE(_xlpm.y,1,1),transactions[posted_date],"&lt;"&amp;DATE(_xlpm.y+1,1,1)))</f>
        <v>2259.08</v>
      </c>
    </row>
    <row r="13" spans="1:3" x14ac:dyDescent="0.3">
      <c r="A13" t="s">
        <v>18</v>
      </c>
      <c r="B13" t="s">
        <v>30</v>
      </c>
      <c r="C13" t="s">
        <v>91</v>
      </c>
    </row>
    <row r="14" spans="1:3" x14ac:dyDescent="0.3">
      <c r="A14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4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4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15" spans="1:3" x14ac:dyDescent="0.3">
      <c r="A15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5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5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16" spans="1:3" x14ac:dyDescent="0.3">
      <c r="A16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6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6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17" spans="1:5" x14ac:dyDescent="0.3">
      <c r="A17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7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7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18" spans="1:5" x14ac:dyDescent="0.3">
      <c r="A18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Cats,_xlpm.idx),""))</f>
        <v/>
      </c>
      <c r="B18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Subs,_xlpm.idx),""))</f>
        <v/>
      </c>
      <c r="C18" t="str">
        <f ca="1">_xlfn.LET(_xlpm.m,_xlfn.XLOOKUP("current_month",dashboard_params[key],dashboard_params[value],TODAY()),_xlpm.cats,_xlfn._xlws.FILTER(envelopes[category],(envelopes[month]=_xlpm.m)*(envelopes[remaining]&lt;0)),_xlpm.subs,_xlfn._xlws.FILTER(envelopes[subcategory],(envelopes[month]=_xlpm.m)*(envelopes[remaining]&lt;0)),_xlpm.rems,_xlfn._xlws.FILTER(envelopes[remaining],(envelopes[month]=_xlpm.m)*(envelopes[remaining]&lt;0)),_xlpm.idx,ROW()-ROW(dashboard_overspent[#Headers]),_xlpm.sortedCats,_xlfn.SORTBY(_xlpm.cats,_xlpm.rems,1),_xlpm.sortedSubs,_xlfn.SORTBY(_xlpm.subs,_xlpm.rems,1),_xlpm.sortedRems,_xlfn.SORTBY(_xlpm.rems,_xlpm.rems,1),IFERROR(INDEX(_xlpm.sortedRems,_xlpm.idx),""))</f>
        <v/>
      </c>
    </row>
    <row r="20" spans="1:5" x14ac:dyDescent="0.3">
      <c r="A20" t="s">
        <v>18</v>
      </c>
      <c r="B20" t="s">
        <v>30</v>
      </c>
      <c r="C20" t="s">
        <v>102</v>
      </c>
      <c r="D20" t="s">
        <v>103</v>
      </c>
      <c r="E20" t="s">
        <v>104</v>
      </c>
    </row>
    <row r="21" spans="1:5" x14ac:dyDescent="0.3">
      <c r="A21" t="str">
        <f>_xlfn.LET(_xlpm.cats,_xlfn._xlws.FILTER(plan_annual[category],plan_annual[type]="expense"),_xlpm.idx,ROW()-ROW(dashboard_ytd[#Headers]),IFERROR(INDEX(_xlpm.cats,_xlpm.idx),""))</f>
        <v/>
      </c>
      <c r="B21" t="str">
        <f>_xlfn.LET(_xlpm.subs,_xlfn._xlws.FILTER(plan_annual[subcategory],plan_annual[type]="expense"),_xlpm.idx,ROW()-ROW(dashboard_ytd[#Headers]),IFERROR(INDEX(_xlpm.subs,_xlpm.idx),""))</f>
        <v/>
      </c>
      <c r="C2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1" t="str">
        <f t="shared" ref="E21:E52" si="1">IF($A21="","",$C21-$D21)</f>
        <v/>
      </c>
    </row>
    <row r="22" spans="1:5" x14ac:dyDescent="0.3">
      <c r="A22" t="str">
        <f>_xlfn.LET(_xlpm.cats,_xlfn._xlws.FILTER(plan_annual[category],plan_annual[type]="expense"),_xlpm.idx,ROW()-ROW(dashboard_ytd[#Headers]),IFERROR(INDEX(_xlpm.cats,_xlpm.idx),""))</f>
        <v/>
      </c>
      <c r="B22" t="str">
        <f>_xlfn.LET(_xlpm.subs,_xlfn._xlws.FILTER(plan_annual[subcategory],plan_annual[type]="expense"),_xlpm.idx,ROW()-ROW(dashboard_ytd[#Headers]),IFERROR(INDEX(_xlpm.subs,_xlpm.idx),""))</f>
        <v/>
      </c>
      <c r="C2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2" t="str">
        <f t="shared" si="1"/>
        <v/>
      </c>
    </row>
    <row r="23" spans="1:5" x14ac:dyDescent="0.3">
      <c r="A23" t="str">
        <f>_xlfn.LET(_xlpm.cats,_xlfn._xlws.FILTER(plan_annual[category],plan_annual[type]="expense"),_xlpm.idx,ROW()-ROW(dashboard_ytd[#Headers]),IFERROR(INDEX(_xlpm.cats,_xlpm.idx),""))</f>
        <v/>
      </c>
      <c r="B23" t="str">
        <f>_xlfn.LET(_xlpm.subs,_xlfn._xlws.FILTER(plan_annual[subcategory],plan_annual[type]="expense"),_xlpm.idx,ROW()-ROW(dashboard_ytd[#Headers]),IFERROR(INDEX(_xlpm.subs,_xlpm.idx),""))</f>
        <v/>
      </c>
      <c r="C2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3" t="str">
        <f t="shared" si="1"/>
        <v/>
      </c>
    </row>
    <row r="24" spans="1:5" x14ac:dyDescent="0.3">
      <c r="A24" t="str">
        <f>_xlfn.LET(_xlpm.cats,_xlfn._xlws.FILTER(plan_annual[category],plan_annual[type]="expense"),_xlpm.idx,ROW()-ROW(dashboard_ytd[#Headers]),IFERROR(INDEX(_xlpm.cats,_xlpm.idx),""))</f>
        <v/>
      </c>
      <c r="B24" t="str">
        <f>_xlfn.LET(_xlpm.subs,_xlfn._xlws.FILTER(plan_annual[subcategory],plan_annual[type]="expense"),_xlpm.idx,ROW()-ROW(dashboard_ytd[#Headers]),IFERROR(INDEX(_xlpm.subs,_xlpm.idx),""))</f>
        <v/>
      </c>
      <c r="C2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4" t="str">
        <f t="shared" si="1"/>
        <v/>
      </c>
    </row>
    <row r="25" spans="1:5" x14ac:dyDescent="0.3">
      <c r="A25" t="str">
        <f>_xlfn.LET(_xlpm.cats,_xlfn._xlws.FILTER(plan_annual[category],plan_annual[type]="expense"),_xlpm.idx,ROW()-ROW(dashboard_ytd[#Headers]),IFERROR(INDEX(_xlpm.cats,_xlpm.idx),""))</f>
        <v/>
      </c>
      <c r="B25" t="str">
        <f>_xlfn.LET(_xlpm.subs,_xlfn._xlws.FILTER(plan_annual[subcategory],plan_annual[type]="expense"),_xlpm.idx,ROW()-ROW(dashboard_ytd[#Headers]),IFERROR(INDEX(_xlpm.subs,_xlpm.idx),""))</f>
        <v/>
      </c>
      <c r="C2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5" t="str">
        <f t="shared" si="1"/>
        <v/>
      </c>
    </row>
    <row r="26" spans="1:5" x14ac:dyDescent="0.3">
      <c r="A26" t="str">
        <f>_xlfn.LET(_xlpm.cats,_xlfn._xlws.FILTER(plan_annual[category],plan_annual[type]="expense"),_xlpm.idx,ROW()-ROW(dashboard_ytd[#Headers]),IFERROR(INDEX(_xlpm.cats,_xlpm.idx),""))</f>
        <v/>
      </c>
      <c r="B26" t="str">
        <f>_xlfn.LET(_xlpm.subs,_xlfn._xlws.FILTER(plan_annual[subcategory],plan_annual[type]="expense"),_xlpm.idx,ROW()-ROW(dashboard_ytd[#Headers]),IFERROR(INDEX(_xlpm.subs,_xlpm.idx),""))</f>
        <v/>
      </c>
      <c r="C2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6" t="str">
        <f t="shared" si="1"/>
        <v/>
      </c>
    </row>
    <row r="27" spans="1:5" x14ac:dyDescent="0.3">
      <c r="A27" t="str">
        <f>_xlfn.LET(_xlpm.cats,_xlfn._xlws.FILTER(plan_annual[category],plan_annual[type]="expense"),_xlpm.idx,ROW()-ROW(dashboard_ytd[#Headers]),IFERROR(INDEX(_xlpm.cats,_xlpm.idx),""))</f>
        <v/>
      </c>
      <c r="B27" t="str">
        <f>_xlfn.LET(_xlpm.subs,_xlfn._xlws.FILTER(plan_annual[subcategory],plan_annual[type]="expense"),_xlpm.idx,ROW()-ROW(dashboard_ytd[#Headers]),IFERROR(INDEX(_xlpm.subs,_xlpm.idx),""))</f>
        <v/>
      </c>
      <c r="C2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7" t="str">
        <f t="shared" si="1"/>
        <v/>
      </c>
    </row>
    <row r="28" spans="1:5" x14ac:dyDescent="0.3">
      <c r="A28" t="str">
        <f>_xlfn.LET(_xlpm.cats,_xlfn._xlws.FILTER(plan_annual[category],plan_annual[type]="expense"),_xlpm.idx,ROW()-ROW(dashboard_ytd[#Headers]),IFERROR(INDEX(_xlpm.cats,_xlpm.idx),""))</f>
        <v/>
      </c>
      <c r="B28" t="str">
        <f>_xlfn.LET(_xlpm.subs,_xlfn._xlws.FILTER(plan_annual[subcategory],plan_annual[type]="expense"),_xlpm.idx,ROW()-ROW(dashboard_ytd[#Headers]),IFERROR(INDEX(_xlpm.subs,_xlpm.idx),""))</f>
        <v/>
      </c>
      <c r="C2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8" t="str">
        <f t="shared" si="1"/>
        <v/>
      </c>
    </row>
    <row r="29" spans="1:5" x14ac:dyDescent="0.3">
      <c r="A29" t="str">
        <f>_xlfn.LET(_xlpm.cats,_xlfn._xlws.FILTER(plan_annual[category],plan_annual[type]="expense"),_xlpm.idx,ROW()-ROW(dashboard_ytd[#Headers]),IFERROR(INDEX(_xlpm.cats,_xlpm.idx),""))</f>
        <v/>
      </c>
      <c r="B29" t="str">
        <f>_xlfn.LET(_xlpm.subs,_xlfn._xlws.FILTER(plan_annual[subcategory],plan_annual[type]="expense"),_xlpm.idx,ROW()-ROW(dashboard_ytd[#Headers]),IFERROR(INDEX(_xlpm.subs,_xlpm.idx),""))</f>
        <v/>
      </c>
      <c r="C2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2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29" t="str">
        <f t="shared" si="1"/>
        <v/>
      </c>
    </row>
    <row r="30" spans="1:5" x14ac:dyDescent="0.3">
      <c r="A30" t="str">
        <f>_xlfn.LET(_xlpm.cats,_xlfn._xlws.FILTER(plan_annual[category],plan_annual[type]="expense"),_xlpm.idx,ROW()-ROW(dashboard_ytd[#Headers]),IFERROR(INDEX(_xlpm.cats,_xlpm.idx),""))</f>
        <v/>
      </c>
      <c r="B30" t="str">
        <f>_xlfn.LET(_xlpm.subs,_xlfn._xlws.FILTER(plan_annual[subcategory],plan_annual[type]="expense"),_xlpm.idx,ROW()-ROW(dashboard_ytd[#Headers]),IFERROR(INDEX(_xlpm.subs,_xlpm.idx),""))</f>
        <v/>
      </c>
      <c r="C3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0" t="str">
        <f t="shared" si="1"/>
        <v/>
      </c>
    </row>
    <row r="31" spans="1:5" x14ac:dyDescent="0.3">
      <c r="A31" t="str">
        <f>_xlfn.LET(_xlpm.cats,_xlfn._xlws.FILTER(plan_annual[category],plan_annual[type]="expense"),_xlpm.idx,ROW()-ROW(dashboard_ytd[#Headers]),IFERROR(INDEX(_xlpm.cats,_xlpm.idx),""))</f>
        <v/>
      </c>
      <c r="B31" t="str">
        <f>_xlfn.LET(_xlpm.subs,_xlfn._xlws.FILTER(plan_annual[subcategory],plan_annual[type]="expense"),_xlpm.idx,ROW()-ROW(dashboard_ytd[#Headers]),IFERROR(INDEX(_xlpm.subs,_xlpm.idx),""))</f>
        <v/>
      </c>
      <c r="C3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1" t="str">
        <f t="shared" si="1"/>
        <v/>
      </c>
    </row>
    <row r="32" spans="1:5" x14ac:dyDescent="0.3">
      <c r="A32" t="str">
        <f>_xlfn.LET(_xlpm.cats,_xlfn._xlws.FILTER(plan_annual[category],plan_annual[type]="expense"),_xlpm.idx,ROW()-ROW(dashboard_ytd[#Headers]),IFERROR(INDEX(_xlpm.cats,_xlpm.idx),""))</f>
        <v/>
      </c>
      <c r="B32" t="str">
        <f>_xlfn.LET(_xlpm.subs,_xlfn._xlws.FILTER(plan_annual[subcategory],plan_annual[type]="expense"),_xlpm.idx,ROW()-ROW(dashboard_ytd[#Headers]),IFERROR(INDEX(_xlpm.subs,_xlpm.idx),""))</f>
        <v/>
      </c>
      <c r="C3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2" t="str">
        <f t="shared" si="1"/>
        <v/>
      </c>
    </row>
    <row r="33" spans="1:5" x14ac:dyDescent="0.3">
      <c r="A33" t="str">
        <f>_xlfn.LET(_xlpm.cats,_xlfn._xlws.FILTER(plan_annual[category],plan_annual[type]="expense"),_xlpm.idx,ROW()-ROW(dashboard_ytd[#Headers]),IFERROR(INDEX(_xlpm.cats,_xlpm.idx),""))</f>
        <v/>
      </c>
      <c r="B33" t="str">
        <f>_xlfn.LET(_xlpm.subs,_xlfn._xlws.FILTER(plan_annual[subcategory],plan_annual[type]="expense"),_xlpm.idx,ROW()-ROW(dashboard_ytd[#Headers]),IFERROR(INDEX(_xlpm.subs,_xlpm.idx),""))</f>
        <v/>
      </c>
      <c r="C3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3" t="str">
        <f t="shared" si="1"/>
        <v/>
      </c>
    </row>
    <row r="34" spans="1:5" x14ac:dyDescent="0.3">
      <c r="A34" t="str">
        <f>_xlfn.LET(_xlpm.cats,_xlfn._xlws.FILTER(plan_annual[category],plan_annual[type]="expense"),_xlpm.idx,ROW()-ROW(dashboard_ytd[#Headers]),IFERROR(INDEX(_xlpm.cats,_xlpm.idx),""))</f>
        <v/>
      </c>
      <c r="B34" t="str">
        <f>_xlfn.LET(_xlpm.subs,_xlfn._xlws.FILTER(plan_annual[subcategory],plan_annual[type]="expense"),_xlpm.idx,ROW()-ROW(dashboard_ytd[#Headers]),IFERROR(INDEX(_xlpm.subs,_xlpm.idx),""))</f>
        <v/>
      </c>
      <c r="C3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4" t="str">
        <f t="shared" si="1"/>
        <v/>
      </c>
    </row>
    <row r="35" spans="1:5" x14ac:dyDescent="0.3">
      <c r="A35" t="str">
        <f>_xlfn.LET(_xlpm.cats,_xlfn._xlws.FILTER(plan_annual[category],plan_annual[type]="expense"),_xlpm.idx,ROW()-ROW(dashboard_ytd[#Headers]),IFERROR(INDEX(_xlpm.cats,_xlpm.idx),""))</f>
        <v/>
      </c>
      <c r="B35" t="str">
        <f>_xlfn.LET(_xlpm.subs,_xlfn._xlws.FILTER(plan_annual[subcategory],plan_annual[type]="expense"),_xlpm.idx,ROW()-ROW(dashboard_ytd[#Headers]),IFERROR(INDEX(_xlpm.subs,_xlpm.idx),""))</f>
        <v/>
      </c>
      <c r="C3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5" t="str">
        <f t="shared" si="1"/>
        <v/>
      </c>
    </row>
    <row r="36" spans="1:5" x14ac:dyDescent="0.3">
      <c r="A36" t="str">
        <f>_xlfn.LET(_xlpm.cats,_xlfn._xlws.FILTER(plan_annual[category],plan_annual[type]="expense"),_xlpm.idx,ROW()-ROW(dashboard_ytd[#Headers]),IFERROR(INDEX(_xlpm.cats,_xlpm.idx),""))</f>
        <v/>
      </c>
      <c r="B36" t="str">
        <f>_xlfn.LET(_xlpm.subs,_xlfn._xlws.FILTER(plan_annual[subcategory],plan_annual[type]="expense"),_xlpm.idx,ROW()-ROW(dashboard_ytd[#Headers]),IFERROR(INDEX(_xlpm.subs,_xlpm.idx),""))</f>
        <v/>
      </c>
      <c r="C3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6" t="str">
        <f t="shared" si="1"/>
        <v/>
      </c>
    </row>
    <row r="37" spans="1:5" x14ac:dyDescent="0.3">
      <c r="A37" t="str">
        <f>_xlfn.LET(_xlpm.cats,_xlfn._xlws.FILTER(plan_annual[category],plan_annual[type]="expense"),_xlpm.idx,ROW()-ROW(dashboard_ytd[#Headers]),IFERROR(INDEX(_xlpm.cats,_xlpm.idx),""))</f>
        <v/>
      </c>
      <c r="B37" t="str">
        <f>_xlfn.LET(_xlpm.subs,_xlfn._xlws.FILTER(plan_annual[subcategory],plan_annual[type]="expense"),_xlpm.idx,ROW()-ROW(dashboard_ytd[#Headers]),IFERROR(INDEX(_xlpm.subs,_xlpm.idx),""))</f>
        <v/>
      </c>
      <c r="C3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7" t="str">
        <f t="shared" si="1"/>
        <v/>
      </c>
    </row>
    <row r="38" spans="1:5" x14ac:dyDescent="0.3">
      <c r="A38" t="str">
        <f>_xlfn.LET(_xlpm.cats,_xlfn._xlws.FILTER(plan_annual[category],plan_annual[type]="expense"),_xlpm.idx,ROW()-ROW(dashboard_ytd[#Headers]),IFERROR(INDEX(_xlpm.cats,_xlpm.idx),""))</f>
        <v/>
      </c>
      <c r="B38" t="str">
        <f>_xlfn.LET(_xlpm.subs,_xlfn._xlws.FILTER(plan_annual[subcategory],plan_annual[type]="expense"),_xlpm.idx,ROW()-ROW(dashboard_ytd[#Headers]),IFERROR(INDEX(_xlpm.subs,_xlpm.idx),""))</f>
        <v/>
      </c>
      <c r="C3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8" t="str">
        <f t="shared" si="1"/>
        <v/>
      </c>
    </row>
    <row r="39" spans="1:5" x14ac:dyDescent="0.3">
      <c r="A39" t="str">
        <f>_xlfn.LET(_xlpm.cats,_xlfn._xlws.FILTER(plan_annual[category],plan_annual[type]="expense"),_xlpm.idx,ROW()-ROW(dashboard_ytd[#Headers]),IFERROR(INDEX(_xlpm.cats,_xlpm.idx),""))</f>
        <v/>
      </c>
      <c r="B39" t="str">
        <f>_xlfn.LET(_xlpm.subs,_xlfn._xlws.FILTER(plan_annual[subcategory],plan_annual[type]="expense"),_xlpm.idx,ROW()-ROW(dashboard_ytd[#Headers]),IFERROR(INDEX(_xlpm.subs,_xlpm.idx),""))</f>
        <v/>
      </c>
      <c r="C3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3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39" t="str">
        <f t="shared" si="1"/>
        <v/>
      </c>
    </row>
    <row r="40" spans="1:5" x14ac:dyDescent="0.3">
      <c r="A40" t="str">
        <f>_xlfn.LET(_xlpm.cats,_xlfn._xlws.FILTER(plan_annual[category],plan_annual[type]="expense"),_xlpm.idx,ROW()-ROW(dashboard_ytd[#Headers]),IFERROR(INDEX(_xlpm.cats,_xlpm.idx),""))</f>
        <v/>
      </c>
      <c r="B40" t="str">
        <f>_xlfn.LET(_xlpm.subs,_xlfn._xlws.FILTER(plan_annual[subcategory],plan_annual[type]="expense"),_xlpm.idx,ROW()-ROW(dashboard_ytd[#Headers]),IFERROR(INDEX(_xlpm.subs,_xlpm.idx),""))</f>
        <v/>
      </c>
      <c r="C4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0" t="str">
        <f t="shared" si="1"/>
        <v/>
      </c>
    </row>
    <row r="41" spans="1:5" x14ac:dyDescent="0.3">
      <c r="A41" t="str">
        <f>_xlfn.LET(_xlpm.cats,_xlfn._xlws.FILTER(plan_annual[category],plan_annual[type]="expense"),_xlpm.idx,ROW()-ROW(dashboard_ytd[#Headers]),IFERROR(INDEX(_xlpm.cats,_xlpm.idx),""))</f>
        <v/>
      </c>
      <c r="B41" t="str">
        <f>_xlfn.LET(_xlpm.subs,_xlfn._xlws.FILTER(plan_annual[subcategory],plan_annual[type]="expense"),_xlpm.idx,ROW()-ROW(dashboard_ytd[#Headers]),IFERROR(INDEX(_xlpm.subs,_xlpm.idx),""))</f>
        <v/>
      </c>
      <c r="C4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1" t="str">
        <f t="shared" si="1"/>
        <v/>
      </c>
    </row>
    <row r="42" spans="1:5" x14ac:dyDescent="0.3">
      <c r="A42" t="str">
        <f>_xlfn.LET(_xlpm.cats,_xlfn._xlws.FILTER(plan_annual[category],plan_annual[type]="expense"),_xlpm.idx,ROW()-ROW(dashboard_ytd[#Headers]),IFERROR(INDEX(_xlpm.cats,_xlpm.idx),""))</f>
        <v/>
      </c>
      <c r="B42" t="str">
        <f>_xlfn.LET(_xlpm.subs,_xlfn._xlws.FILTER(plan_annual[subcategory],plan_annual[type]="expense"),_xlpm.idx,ROW()-ROW(dashboard_ytd[#Headers]),IFERROR(INDEX(_xlpm.subs,_xlpm.idx),""))</f>
        <v/>
      </c>
      <c r="C4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2" t="str">
        <f t="shared" si="1"/>
        <v/>
      </c>
    </row>
    <row r="43" spans="1:5" x14ac:dyDescent="0.3">
      <c r="A43" t="str">
        <f>_xlfn.LET(_xlpm.cats,_xlfn._xlws.FILTER(plan_annual[category],plan_annual[type]="expense"),_xlpm.idx,ROW()-ROW(dashboard_ytd[#Headers]),IFERROR(INDEX(_xlpm.cats,_xlpm.idx),""))</f>
        <v/>
      </c>
      <c r="B43" t="str">
        <f>_xlfn.LET(_xlpm.subs,_xlfn._xlws.FILTER(plan_annual[subcategory],plan_annual[type]="expense"),_xlpm.idx,ROW()-ROW(dashboard_ytd[#Headers]),IFERROR(INDEX(_xlpm.subs,_xlpm.idx),""))</f>
        <v/>
      </c>
      <c r="C4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3" t="str">
        <f t="shared" si="1"/>
        <v/>
      </c>
    </row>
    <row r="44" spans="1:5" x14ac:dyDescent="0.3">
      <c r="A44" t="str">
        <f>_xlfn.LET(_xlpm.cats,_xlfn._xlws.FILTER(plan_annual[category],plan_annual[type]="expense"),_xlpm.idx,ROW()-ROW(dashboard_ytd[#Headers]),IFERROR(INDEX(_xlpm.cats,_xlpm.idx),""))</f>
        <v/>
      </c>
      <c r="B44" t="str">
        <f>_xlfn.LET(_xlpm.subs,_xlfn._xlws.FILTER(plan_annual[subcategory],plan_annual[type]="expense"),_xlpm.idx,ROW()-ROW(dashboard_ytd[#Headers]),IFERROR(INDEX(_xlpm.subs,_xlpm.idx),""))</f>
        <v/>
      </c>
      <c r="C4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4" t="str">
        <f t="shared" si="1"/>
        <v/>
      </c>
    </row>
    <row r="45" spans="1:5" x14ac:dyDescent="0.3">
      <c r="A45" t="str">
        <f>_xlfn.LET(_xlpm.cats,_xlfn._xlws.FILTER(plan_annual[category],plan_annual[type]="expense"),_xlpm.idx,ROW()-ROW(dashboard_ytd[#Headers]),IFERROR(INDEX(_xlpm.cats,_xlpm.idx),""))</f>
        <v/>
      </c>
      <c r="B45" t="str">
        <f>_xlfn.LET(_xlpm.subs,_xlfn._xlws.FILTER(plan_annual[subcategory],plan_annual[type]="expense"),_xlpm.idx,ROW()-ROW(dashboard_ytd[#Headers]),IFERROR(INDEX(_xlpm.subs,_xlpm.idx),""))</f>
        <v/>
      </c>
      <c r="C4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5" t="str">
        <f t="shared" si="1"/>
        <v/>
      </c>
    </row>
    <row r="46" spans="1:5" x14ac:dyDescent="0.3">
      <c r="A46" t="str">
        <f>_xlfn.LET(_xlpm.cats,_xlfn._xlws.FILTER(plan_annual[category],plan_annual[type]="expense"),_xlpm.idx,ROW()-ROW(dashboard_ytd[#Headers]),IFERROR(INDEX(_xlpm.cats,_xlpm.idx),""))</f>
        <v/>
      </c>
      <c r="B46" t="str">
        <f>_xlfn.LET(_xlpm.subs,_xlfn._xlws.FILTER(plan_annual[subcategory],plan_annual[type]="expense"),_xlpm.idx,ROW()-ROW(dashboard_ytd[#Headers]),IFERROR(INDEX(_xlpm.subs,_xlpm.idx),""))</f>
        <v/>
      </c>
      <c r="C4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6" t="str">
        <f t="shared" si="1"/>
        <v/>
      </c>
    </row>
    <row r="47" spans="1:5" x14ac:dyDescent="0.3">
      <c r="A47" t="str">
        <f>_xlfn.LET(_xlpm.cats,_xlfn._xlws.FILTER(plan_annual[category],plan_annual[type]="expense"),_xlpm.idx,ROW()-ROW(dashboard_ytd[#Headers]),IFERROR(INDEX(_xlpm.cats,_xlpm.idx),""))</f>
        <v/>
      </c>
      <c r="B47" t="str">
        <f>_xlfn.LET(_xlpm.subs,_xlfn._xlws.FILTER(plan_annual[subcategory],plan_annual[type]="expense"),_xlpm.idx,ROW()-ROW(dashboard_ytd[#Headers]),IFERROR(INDEX(_xlpm.subs,_xlpm.idx),""))</f>
        <v/>
      </c>
      <c r="C4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7" t="str">
        <f t="shared" si="1"/>
        <v/>
      </c>
    </row>
    <row r="48" spans="1:5" x14ac:dyDescent="0.3">
      <c r="A48" t="str">
        <f>_xlfn.LET(_xlpm.cats,_xlfn._xlws.FILTER(plan_annual[category],plan_annual[type]="expense"),_xlpm.idx,ROW()-ROW(dashboard_ytd[#Headers]),IFERROR(INDEX(_xlpm.cats,_xlpm.idx),""))</f>
        <v/>
      </c>
      <c r="B48" t="str">
        <f>_xlfn.LET(_xlpm.subs,_xlfn._xlws.FILTER(plan_annual[subcategory],plan_annual[type]="expense"),_xlpm.idx,ROW()-ROW(dashboard_ytd[#Headers]),IFERROR(INDEX(_xlpm.subs,_xlpm.idx),""))</f>
        <v/>
      </c>
      <c r="C4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8" t="str">
        <f t="shared" si="1"/>
        <v/>
      </c>
    </row>
    <row r="49" spans="1:5" x14ac:dyDescent="0.3">
      <c r="A49" t="str">
        <f>_xlfn.LET(_xlpm.cats,_xlfn._xlws.FILTER(plan_annual[category],plan_annual[type]="expense"),_xlpm.idx,ROW()-ROW(dashboard_ytd[#Headers]),IFERROR(INDEX(_xlpm.cats,_xlpm.idx),""))</f>
        <v/>
      </c>
      <c r="B49" t="str">
        <f>_xlfn.LET(_xlpm.subs,_xlfn._xlws.FILTER(plan_annual[subcategory],plan_annual[type]="expense"),_xlpm.idx,ROW()-ROW(dashboard_ytd[#Headers]),IFERROR(INDEX(_xlpm.subs,_xlpm.idx),""))</f>
        <v/>
      </c>
      <c r="C4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4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49" t="str">
        <f t="shared" si="1"/>
        <v/>
      </c>
    </row>
    <row r="50" spans="1:5" x14ac:dyDescent="0.3">
      <c r="A50" t="str">
        <f>_xlfn.LET(_xlpm.cats,_xlfn._xlws.FILTER(plan_annual[category],plan_annual[type]="expense"),_xlpm.idx,ROW()-ROW(dashboard_ytd[#Headers]),IFERROR(INDEX(_xlpm.cats,_xlpm.idx),""))</f>
        <v/>
      </c>
      <c r="B50" t="str">
        <f>_xlfn.LET(_xlpm.subs,_xlfn._xlws.FILTER(plan_annual[subcategory],plan_annual[type]="expense"),_xlpm.idx,ROW()-ROW(dashboard_ytd[#Headers]),IFERROR(INDEX(_xlpm.subs,_xlpm.idx),""))</f>
        <v/>
      </c>
      <c r="C5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0" t="str">
        <f t="shared" si="1"/>
        <v/>
      </c>
    </row>
    <row r="51" spans="1:5" x14ac:dyDescent="0.3">
      <c r="A51" t="str">
        <f>_xlfn.LET(_xlpm.cats,_xlfn._xlws.FILTER(plan_annual[category],plan_annual[type]="expense"),_xlpm.idx,ROW()-ROW(dashboard_ytd[#Headers]),IFERROR(INDEX(_xlpm.cats,_xlpm.idx),""))</f>
        <v/>
      </c>
      <c r="B51" t="str">
        <f>_xlfn.LET(_xlpm.subs,_xlfn._xlws.FILTER(plan_annual[subcategory],plan_annual[type]="expense"),_xlpm.idx,ROW()-ROW(dashboard_ytd[#Headers]),IFERROR(INDEX(_xlpm.subs,_xlpm.idx),""))</f>
        <v/>
      </c>
      <c r="C5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1" t="str">
        <f t="shared" si="1"/>
        <v/>
      </c>
    </row>
    <row r="52" spans="1:5" x14ac:dyDescent="0.3">
      <c r="A52" t="str">
        <f>_xlfn.LET(_xlpm.cats,_xlfn._xlws.FILTER(plan_annual[category],plan_annual[type]="expense"),_xlpm.idx,ROW()-ROW(dashboard_ytd[#Headers]),IFERROR(INDEX(_xlpm.cats,_xlpm.idx),""))</f>
        <v/>
      </c>
      <c r="B52" t="str">
        <f>_xlfn.LET(_xlpm.subs,_xlfn._xlws.FILTER(plan_annual[subcategory],plan_annual[type]="expense"),_xlpm.idx,ROW()-ROW(dashboard_ytd[#Headers]),IFERROR(INDEX(_xlpm.subs,_xlpm.idx),""))</f>
        <v/>
      </c>
      <c r="C5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2" t="str">
        <f t="shared" si="1"/>
        <v/>
      </c>
    </row>
    <row r="53" spans="1:5" x14ac:dyDescent="0.3">
      <c r="A53" t="str">
        <f>_xlfn.LET(_xlpm.cats,_xlfn._xlws.FILTER(plan_annual[category],plan_annual[type]="expense"),_xlpm.idx,ROW()-ROW(dashboard_ytd[#Headers]),IFERROR(INDEX(_xlpm.cats,_xlpm.idx),""))</f>
        <v/>
      </c>
      <c r="B53" t="str">
        <f>_xlfn.LET(_xlpm.subs,_xlfn._xlws.FILTER(plan_annual[subcategory],plan_annual[type]="expense"),_xlpm.idx,ROW()-ROW(dashboard_ytd[#Headers]),IFERROR(INDEX(_xlpm.subs,_xlpm.idx),""))</f>
        <v/>
      </c>
      <c r="C5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3" t="str">
        <f t="shared" ref="E53:E70" si="2">IF($A53="","",$C53-$D53)</f>
        <v/>
      </c>
    </row>
    <row r="54" spans="1:5" x14ac:dyDescent="0.3">
      <c r="A54" t="str">
        <f>_xlfn.LET(_xlpm.cats,_xlfn._xlws.FILTER(plan_annual[category],plan_annual[type]="expense"),_xlpm.idx,ROW()-ROW(dashboard_ytd[#Headers]),IFERROR(INDEX(_xlpm.cats,_xlpm.idx),""))</f>
        <v/>
      </c>
      <c r="B54" t="str">
        <f>_xlfn.LET(_xlpm.subs,_xlfn._xlws.FILTER(plan_annual[subcategory],plan_annual[type]="expense"),_xlpm.idx,ROW()-ROW(dashboard_ytd[#Headers]),IFERROR(INDEX(_xlpm.subs,_xlpm.idx),""))</f>
        <v/>
      </c>
      <c r="C5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4" t="str">
        <f t="shared" si="2"/>
        <v/>
      </c>
    </row>
    <row r="55" spans="1:5" x14ac:dyDescent="0.3">
      <c r="A55" t="str">
        <f>_xlfn.LET(_xlpm.cats,_xlfn._xlws.FILTER(plan_annual[category],plan_annual[type]="expense"),_xlpm.idx,ROW()-ROW(dashboard_ytd[#Headers]),IFERROR(INDEX(_xlpm.cats,_xlpm.idx),""))</f>
        <v/>
      </c>
      <c r="B55" t="str">
        <f>_xlfn.LET(_xlpm.subs,_xlfn._xlws.FILTER(plan_annual[subcategory],plan_annual[type]="expense"),_xlpm.idx,ROW()-ROW(dashboard_ytd[#Headers]),IFERROR(INDEX(_xlpm.subs,_xlpm.idx),""))</f>
        <v/>
      </c>
      <c r="C5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5" t="str">
        <f t="shared" si="2"/>
        <v/>
      </c>
    </row>
    <row r="56" spans="1:5" x14ac:dyDescent="0.3">
      <c r="A56" t="str">
        <f>_xlfn.LET(_xlpm.cats,_xlfn._xlws.FILTER(plan_annual[category],plan_annual[type]="expense"),_xlpm.idx,ROW()-ROW(dashboard_ytd[#Headers]),IFERROR(INDEX(_xlpm.cats,_xlpm.idx),""))</f>
        <v/>
      </c>
      <c r="B56" t="str">
        <f>_xlfn.LET(_xlpm.subs,_xlfn._xlws.FILTER(plan_annual[subcategory],plan_annual[type]="expense"),_xlpm.idx,ROW()-ROW(dashboard_ytd[#Headers]),IFERROR(INDEX(_xlpm.subs,_xlpm.idx),""))</f>
        <v/>
      </c>
      <c r="C5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6" t="str">
        <f t="shared" si="2"/>
        <v/>
      </c>
    </row>
    <row r="57" spans="1:5" x14ac:dyDescent="0.3">
      <c r="A57" t="str">
        <f>_xlfn.LET(_xlpm.cats,_xlfn._xlws.FILTER(plan_annual[category],plan_annual[type]="expense"),_xlpm.idx,ROW()-ROW(dashboard_ytd[#Headers]),IFERROR(INDEX(_xlpm.cats,_xlpm.idx),""))</f>
        <v/>
      </c>
      <c r="B57" t="str">
        <f>_xlfn.LET(_xlpm.subs,_xlfn._xlws.FILTER(plan_annual[subcategory],plan_annual[type]="expense"),_xlpm.idx,ROW()-ROW(dashboard_ytd[#Headers]),IFERROR(INDEX(_xlpm.subs,_xlpm.idx),""))</f>
        <v/>
      </c>
      <c r="C5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7" t="str">
        <f t="shared" si="2"/>
        <v/>
      </c>
    </row>
    <row r="58" spans="1:5" x14ac:dyDescent="0.3">
      <c r="A58" t="str">
        <f>_xlfn.LET(_xlpm.cats,_xlfn._xlws.FILTER(plan_annual[category],plan_annual[type]="expense"),_xlpm.idx,ROW()-ROW(dashboard_ytd[#Headers]),IFERROR(INDEX(_xlpm.cats,_xlpm.idx),""))</f>
        <v/>
      </c>
      <c r="B58" t="str">
        <f>_xlfn.LET(_xlpm.subs,_xlfn._xlws.FILTER(plan_annual[subcategory],plan_annual[type]="expense"),_xlpm.idx,ROW()-ROW(dashboard_ytd[#Headers]),IFERROR(INDEX(_xlpm.subs,_xlpm.idx),""))</f>
        <v/>
      </c>
      <c r="C5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8" t="str">
        <f t="shared" si="2"/>
        <v/>
      </c>
    </row>
    <row r="59" spans="1:5" x14ac:dyDescent="0.3">
      <c r="A59" t="str">
        <f>_xlfn.LET(_xlpm.cats,_xlfn._xlws.FILTER(plan_annual[category],plan_annual[type]="expense"),_xlpm.idx,ROW()-ROW(dashboard_ytd[#Headers]),IFERROR(INDEX(_xlpm.cats,_xlpm.idx),""))</f>
        <v/>
      </c>
      <c r="B59" t="str">
        <f>_xlfn.LET(_xlpm.subs,_xlfn._xlws.FILTER(plan_annual[subcategory],plan_annual[type]="expense"),_xlpm.idx,ROW()-ROW(dashboard_ytd[#Headers]),IFERROR(INDEX(_xlpm.subs,_xlpm.idx),""))</f>
        <v/>
      </c>
      <c r="C5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5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59" t="str">
        <f t="shared" si="2"/>
        <v/>
      </c>
    </row>
    <row r="60" spans="1:5" x14ac:dyDescent="0.3">
      <c r="A60" t="str">
        <f>_xlfn.LET(_xlpm.cats,_xlfn._xlws.FILTER(plan_annual[category],plan_annual[type]="expense"),_xlpm.idx,ROW()-ROW(dashboard_ytd[#Headers]),IFERROR(INDEX(_xlpm.cats,_xlpm.idx),""))</f>
        <v/>
      </c>
      <c r="B60" t="str">
        <f>_xlfn.LET(_xlpm.subs,_xlfn._xlws.FILTER(plan_annual[subcategory],plan_annual[type]="expense"),_xlpm.idx,ROW()-ROW(dashboard_ytd[#Headers]),IFERROR(INDEX(_xlpm.subs,_xlpm.idx),""))</f>
        <v/>
      </c>
      <c r="C6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0" t="str">
        <f t="shared" si="2"/>
        <v/>
      </c>
    </row>
    <row r="61" spans="1:5" x14ac:dyDescent="0.3">
      <c r="A61" t="str">
        <f>_xlfn.LET(_xlpm.cats,_xlfn._xlws.FILTER(plan_annual[category],plan_annual[type]="expense"),_xlpm.idx,ROW()-ROW(dashboard_ytd[#Headers]),IFERROR(INDEX(_xlpm.cats,_xlpm.idx),""))</f>
        <v/>
      </c>
      <c r="B61" t="str">
        <f>_xlfn.LET(_xlpm.subs,_xlfn._xlws.FILTER(plan_annual[subcategory],plan_annual[type]="expense"),_xlpm.idx,ROW()-ROW(dashboard_ytd[#Headers]),IFERROR(INDEX(_xlpm.subs,_xlpm.idx),""))</f>
        <v/>
      </c>
      <c r="C6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1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1" t="str">
        <f t="shared" si="2"/>
        <v/>
      </c>
    </row>
    <row r="62" spans="1:5" x14ac:dyDescent="0.3">
      <c r="A62" t="str">
        <f>_xlfn.LET(_xlpm.cats,_xlfn._xlws.FILTER(plan_annual[category],plan_annual[type]="expense"),_xlpm.idx,ROW()-ROW(dashboard_ytd[#Headers]),IFERROR(INDEX(_xlpm.cats,_xlpm.idx),""))</f>
        <v/>
      </c>
      <c r="B62" t="str">
        <f>_xlfn.LET(_xlpm.subs,_xlfn._xlws.FILTER(plan_annual[subcategory],plan_annual[type]="expense"),_xlpm.idx,ROW()-ROW(dashboard_ytd[#Headers]),IFERROR(INDEX(_xlpm.subs,_xlpm.idx),""))</f>
        <v/>
      </c>
      <c r="C6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2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2" t="str">
        <f t="shared" si="2"/>
        <v/>
      </c>
    </row>
    <row r="63" spans="1:5" x14ac:dyDescent="0.3">
      <c r="A63" t="str">
        <f>_xlfn.LET(_xlpm.cats,_xlfn._xlws.FILTER(plan_annual[category],plan_annual[type]="expense"),_xlpm.idx,ROW()-ROW(dashboard_ytd[#Headers]),IFERROR(INDEX(_xlpm.cats,_xlpm.idx),""))</f>
        <v/>
      </c>
      <c r="B63" t="str">
        <f>_xlfn.LET(_xlpm.subs,_xlfn._xlws.FILTER(plan_annual[subcategory],plan_annual[type]="expense"),_xlpm.idx,ROW()-ROW(dashboard_ytd[#Headers]),IFERROR(INDEX(_xlpm.subs,_xlpm.idx),""))</f>
        <v/>
      </c>
      <c r="C6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3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3" t="str">
        <f t="shared" si="2"/>
        <v/>
      </c>
    </row>
    <row r="64" spans="1:5" x14ac:dyDescent="0.3">
      <c r="A64" t="str">
        <f>_xlfn.LET(_xlpm.cats,_xlfn._xlws.FILTER(plan_annual[category],plan_annual[type]="expense"),_xlpm.idx,ROW()-ROW(dashboard_ytd[#Headers]),IFERROR(INDEX(_xlpm.cats,_xlpm.idx),""))</f>
        <v/>
      </c>
      <c r="B64" t="str">
        <f>_xlfn.LET(_xlpm.subs,_xlfn._xlws.FILTER(plan_annual[subcategory],plan_annual[type]="expense"),_xlpm.idx,ROW()-ROW(dashboard_ytd[#Headers]),IFERROR(INDEX(_xlpm.subs,_xlpm.idx),""))</f>
        <v/>
      </c>
      <c r="C6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4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4" t="str">
        <f t="shared" si="2"/>
        <v/>
      </c>
    </row>
    <row r="65" spans="1:5" x14ac:dyDescent="0.3">
      <c r="A65" t="str">
        <f>_xlfn.LET(_xlpm.cats,_xlfn._xlws.FILTER(plan_annual[category],plan_annual[type]="expense"),_xlpm.idx,ROW()-ROW(dashboard_ytd[#Headers]),IFERROR(INDEX(_xlpm.cats,_xlpm.idx),""))</f>
        <v/>
      </c>
      <c r="B65" t="str">
        <f>_xlfn.LET(_xlpm.subs,_xlfn._xlws.FILTER(plan_annual[subcategory],plan_annual[type]="expense"),_xlpm.idx,ROW()-ROW(dashboard_ytd[#Headers]),IFERROR(INDEX(_xlpm.subs,_xlpm.idx),""))</f>
        <v/>
      </c>
      <c r="C6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5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5" t="str">
        <f t="shared" si="2"/>
        <v/>
      </c>
    </row>
    <row r="66" spans="1:5" x14ac:dyDescent="0.3">
      <c r="A66" t="str">
        <f>_xlfn.LET(_xlpm.cats,_xlfn._xlws.FILTER(plan_annual[category],plan_annual[type]="expense"),_xlpm.idx,ROW()-ROW(dashboard_ytd[#Headers]),IFERROR(INDEX(_xlpm.cats,_xlpm.idx),""))</f>
        <v/>
      </c>
      <c r="B66" t="str">
        <f>_xlfn.LET(_xlpm.subs,_xlfn._xlws.FILTER(plan_annual[subcategory],plan_annual[type]="expense"),_xlpm.idx,ROW()-ROW(dashboard_ytd[#Headers]),IFERROR(INDEX(_xlpm.subs,_xlpm.idx),""))</f>
        <v/>
      </c>
      <c r="C6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6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6" t="str">
        <f t="shared" si="2"/>
        <v/>
      </c>
    </row>
    <row r="67" spans="1:5" x14ac:dyDescent="0.3">
      <c r="A67" t="str">
        <f>_xlfn.LET(_xlpm.cats,_xlfn._xlws.FILTER(plan_annual[category],plan_annual[type]="expense"),_xlpm.idx,ROW()-ROW(dashboard_ytd[#Headers]),IFERROR(INDEX(_xlpm.cats,_xlpm.idx),""))</f>
        <v/>
      </c>
      <c r="B67" t="str">
        <f>_xlfn.LET(_xlpm.subs,_xlfn._xlws.FILTER(plan_annual[subcategory],plan_annual[type]="expense"),_xlpm.idx,ROW()-ROW(dashboard_ytd[#Headers]),IFERROR(INDEX(_xlpm.subs,_xlpm.idx),""))</f>
        <v/>
      </c>
      <c r="C6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7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7" t="str">
        <f t="shared" si="2"/>
        <v/>
      </c>
    </row>
    <row r="68" spans="1:5" x14ac:dyDescent="0.3">
      <c r="A68" t="str">
        <f>_xlfn.LET(_xlpm.cats,_xlfn._xlws.FILTER(plan_annual[category],plan_annual[type]="expense"),_xlpm.idx,ROW()-ROW(dashboard_ytd[#Headers]),IFERROR(INDEX(_xlpm.cats,_xlpm.idx),""))</f>
        <v/>
      </c>
      <c r="B68" t="str">
        <f>_xlfn.LET(_xlpm.subs,_xlfn._xlws.FILTER(plan_annual[subcategory],plan_annual[type]="expense"),_xlpm.idx,ROW()-ROW(dashboard_ytd[#Headers]),IFERROR(INDEX(_xlpm.subs,_xlpm.idx),""))</f>
        <v/>
      </c>
      <c r="C6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8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8" t="str">
        <f t="shared" si="2"/>
        <v/>
      </c>
    </row>
    <row r="69" spans="1:5" x14ac:dyDescent="0.3">
      <c r="A69" t="str">
        <f>_xlfn.LET(_xlpm.cats,_xlfn._xlws.FILTER(plan_annual[category],plan_annual[type]="expense"),_xlpm.idx,ROW()-ROW(dashboard_ytd[#Headers]),IFERROR(INDEX(_xlpm.cats,_xlpm.idx),""))</f>
        <v/>
      </c>
      <c r="B69" t="str">
        <f>_xlfn.LET(_xlpm.subs,_xlfn._xlws.FILTER(plan_annual[subcategory],plan_annual[type]="expense"),_xlpm.idx,ROW()-ROW(dashboard_ytd[#Headers]),IFERROR(INDEX(_xlpm.subs,_xlpm.idx),""))</f>
        <v/>
      </c>
      <c r="C6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69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69" t="str">
        <f t="shared" si="2"/>
        <v/>
      </c>
    </row>
    <row r="70" spans="1:5" x14ac:dyDescent="0.3">
      <c r="A70" t="str">
        <f>_xlfn.LET(_xlpm.cats,_xlfn._xlws.FILTER(plan_annual[category],plan_annual[type]="expense"),_xlpm.idx,ROW()-ROW(dashboard_ytd[#Headers]),IFERROR(INDEX(_xlpm.cats,_xlpm.idx),""))</f>
        <v/>
      </c>
      <c r="B70" t="str">
        <f>_xlfn.LET(_xlpm.subs,_xlfn._xlws.FILTER(plan_annual[subcategory],plan_annual[type]="expense"),_xlpm.idx,ROW()-ROW(dashboard_ytd[#Headers]),IFERROR(INDEX(_xlpm.subs,_xlpm.idx),""))</f>
        <v/>
      </c>
      <c r="C7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budgeted],envelopes[category],dashboard_ytd[[#This Row],[category]],envelopes[subcategory],dashboard_ytd[[#This Row],[subcategory]],envelopes[month],"&gt;="&amp;DATE(_xlpm.y,1,1),envelopes[month],"&lt;="&amp;_xlpm.m)))</f>
        <v/>
      </c>
      <c r="D70" t="str">
        <f ca="1">IF(dashboard_ytd[[#This Row],[category]]="","",_xlfn.LET(_xlpm.m,_xlfn.XLOOKUP("current_month",dashboard_params[key],dashboard_params[value],TODAY()),_xlpm.y,_xlfn.XLOOKUP("current_year",dashboard_params[key],dashboard_params[value],YEAR(TODAY())),SUMIFS(envelopes[spent],envelopes[category],dashboard_ytd[[#This Row],[category]],envelopes[subcategory],dashboard_ytd[[#This Row],[subcategory]],envelopes[month],"&gt;="&amp;DATE(_xlpm.y,1,1),envelopes[month],"&lt;="&amp;_xlpm.m)))</f>
        <v/>
      </c>
      <c r="E70" t="str">
        <f t="shared" si="2"/>
        <v/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5A1BD-8E87-4B37-8C54-C81AAD62B5A9}">
  <sheetPr codeName="Sheet11"/>
  <dimension ref="A1:H6"/>
  <sheetViews>
    <sheetView workbookViewId="0">
      <selection activeCell="E15" sqref="E15"/>
    </sheetView>
  </sheetViews>
  <sheetFormatPr defaultRowHeight="14.4" x14ac:dyDescent="0.3"/>
  <cols>
    <col min="1" max="1" width="12" customWidth="1"/>
    <col min="2" max="2" width="14.44140625" customWidth="1"/>
    <col min="3" max="3" width="11.44140625" customWidth="1"/>
    <col min="4" max="4" width="10" customWidth="1"/>
    <col min="5" max="5" width="17" customWidth="1"/>
    <col min="6" max="6" width="14.88671875" customWidth="1"/>
    <col min="7" max="7" width="14.21875" customWidth="1"/>
  </cols>
  <sheetData>
    <row r="1" spans="1:8" x14ac:dyDescent="0.3">
      <c r="A1" t="s">
        <v>11</v>
      </c>
      <c r="B1" t="s">
        <v>12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</row>
    <row r="2" spans="1:8" x14ac:dyDescent="0.3">
      <c r="E2" s="3"/>
      <c r="F2" s="3"/>
    </row>
    <row r="3" spans="1:8" x14ac:dyDescent="0.3">
      <c r="E3" s="3"/>
      <c r="F3" s="3"/>
    </row>
    <row r="4" spans="1:8" x14ac:dyDescent="0.3">
      <c r="E4" s="3"/>
      <c r="F4" s="3"/>
    </row>
    <row r="5" spans="1:8" x14ac:dyDescent="0.3">
      <c r="E5" s="3"/>
      <c r="F5" s="3"/>
    </row>
    <row r="6" spans="1:8" x14ac:dyDescent="0.3">
      <c r="E6" s="3"/>
      <c r="F6" s="3"/>
    </row>
  </sheetData>
  <dataValidations count="1">
    <dataValidation type="list" allowBlank="1" showInputMessage="1" showErrorMessage="1" sqref="D2:D6" xr:uid="{E9EAFE99-F804-4DA0-91AA-0EAA23A3D05B}">
      <formula1>"weekly,monthly,quarterly"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2B3EF-E856-4B95-A996-EE3DD71F4B91}">
  <sheetPr codeName="Sheet12"/>
  <dimension ref="A1:H6"/>
  <sheetViews>
    <sheetView tabSelected="1" workbookViewId="0">
      <selection activeCell="A2" sqref="A2"/>
    </sheetView>
  </sheetViews>
  <sheetFormatPr defaultRowHeight="14.4" x14ac:dyDescent="0.3"/>
  <cols>
    <col min="1" max="1" width="13.109375" bestFit="1" customWidth="1"/>
    <col min="2" max="2" width="14.44140625" customWidth="1"/>
    <col min="3" max="3" width="23.109375" bestFit="1" customWidth="1"/>
    <col min="4" max="4" width="14.5546875" bestFit="1" customWidth="1"/>
    <col min="5" max="5" width="17" customWidth="1"/>
    <col min="6" max="6" width="9.44140625" customWidth="1"/>
    <col min="7" max="7" width="35.44140625" bestFit="1" customWidth="1"/>
    <col min="8" max="8" width="14.77734375" bestFit="1" customWidth="1"/>
  </cols>
  <sheetData>
    <row r="1" spans="1:8" x14ac:dyDescent="0.3">
      <c r="A1" t="s">
        <v>11</v>
      </c>
      <c r="B1" t="s">
        <v>12</v>
      </c>
      <c r="C1" t="s">
        <v>105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</row>
    <row r="2" spans="1:8" x14ac:dyDescent="0.3">
      <c r="A2" t="s">
        <v>119</v>
      </c>
      <c r="B2" t="s">
        <v>117</v>
      </c>
      <c r="C2" t="s">
        <v>118</v>
      </c>
      <c r="E2" s="3">
        <v>46062.914039351854</v>
      </c>
      <c r="F2" t="s">
        <v>122</v>
      </c>
      <c r="G2" t="s">
        <v>121</v>
      </c>
    </row>
    <row r="3" spans="1:8" x14ac:dyDescent="0.3">
      <c r="E3" s="3"/>
    </row>
    <row r="4" spans="1:8" x14ac:dyDescent="0.3">
      <c r="E4" s="3"/>
    </row>
    <row r="5" spans="1:8" x14ac:dyDescent="0.3">
      <c r="E5" s="3"/>
    </row>
    <row r="6" spans="1:8" x14ac:dyDescent="0.3">
      <c r="E6" s="3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Config</vt:lpstr>
      <vt:lpstr>accounts</vt:lpstr>
      <vt:lpstr>rules</vt:lpstr>
      <vt:lpstr>Transactions</vt:lpstr>
      <vt:lpstr>Diagnostics</vt:lpstr>
      <vt:lpstr>Plan</vt:lpstr>
      <vt:lpstr>Envelopes</vt:lpstr>
      <vt:lpstr>Reallocations</vt:lpstr>
      <vt:lpstr>Dashboard</vt:lpstr>
      <vt:lpstr>Reminders</vt:lpstr>
      <vt:lpstr>Import Assistant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Makinen</dc:creator>
  <cp:lastModifiedBy>Eric Makinen</cp:lastModifiedBy>
  <dcterms:created xsi:type="dcterms:W3CDTF">2026-02-09T15:37:50Z</dcterms:created>
  <dcterms:modified xsi:type="dcterms:W3CDTF">2026-02-10T03:59:24Z</dcterms:modified>
</cp:coreProperties>
</file>